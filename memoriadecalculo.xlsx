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rolo_\Documents\MEGAsync\quinto semestre\maquinas termicas\diseño 1\"/>
    </mc:Choice>
  </mc:AlternateContent>
  <xr:revisionPtr revIDLastSave="0" documentId="13_ncr:1_{1C1E0722-D3C7-4ED5-9B1B-3EBCA598F646}" xr6:coauthVersionLast="45" xr6:coauthVersionMax="45" xr10:uidLastSave="{00000000-0000-0000-0000-000000000000}"/>
  <bookViews>
    <workbookView xWindow="-19310" yWindow="-1580" windowWidth="19420" windowHeight="1056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4" i="1" l="1"/>
  <c r="K12" i="1"/>
  <c r="K6" i="1"/>
  <c r="O16" i="1" l="1"/>
  <c r="K9" i="1"/>
  <c r="S7" i="1" l="1"/>
  <c r="S21" i="1"/>
  <c r="G21" i="1"/>
  <c r="G20" i="1" l="1"/>
  <c r="C12" i="1" l="1"/>
  <c r="D12" i="1" s="1"/>
  <c r="K10" i="1"/>
  <c r="S8" i="1"/>
  <c r="S20" i="1" s="1"/>
  <c r="G17" i="1"/>
  <c r="K15" i="1" l="1"/>
  <c r="K14" i="1"/>
  <c r="K11" i="1"/>
  <c r="S22" i="1"/>
  <c r="O19" i="1" s="1"/>
  <c r="G18" i="1"/>
  <c r="G3" i="1" s="1"/>
  <c r="C23" i="1" l="1"/>
  <c r="O5" i="1"/>
  <c r="O6" i="1" s="1"/>
  <c r="G4" i="1"/>
  <c r="S5" i="1"/>
  <c r="O20" i="1"/>
  <c r="O21" i="1" l="1"/>
  <c r="O22" i="1"/>
  <c r="G5" i="1"/>
  <c r="G6" i="1" s="1"/>
  <c r="G28" i="1"/>
  <c r="C24" i="1"/>
  <c r="O3" i="1" s="1"/>
  <c r="O8" i="1" s="1"/>
  <c r="R35" i="1"/>
  <c r="O7" i="1"/>
  <c r="R32" i="1"/>
  <c r="R29" i="1"/>
  <c r="R36" i="1"/>
  <c r="R33" i="1"/>
  <c r="R28" i="1"/>
  <c r="R30" i="1"/>
  <c r="R31" i="1"/>
  <c r="R34" i="1"/>
  <c r="C25" i="1" l="1"/>
  <c r="K18" i="1" s="1"/>
  <c r="K2" i="1"/>
  <c r="K3" i="1"/>
  <c r="O9" i="1"/>
  <c r="O14" i="1" s="1"/>
  <c r="O12" i="1"/>
  <c r="K17" i="1"/>
  <c r="J22" i="1"/>
  <c r="K22" i="1"/>
  <c r="J23" i="1"/>
  <c r="K23" i="1"/>
  <c r="W37" i="1"/>
  <c r="X37" i="1"/>
  <c r="Y37" i="1"/>
  <c r="AA37" i="1"/>
  <c r="AB37" i="1"/>
  <c r="W38" i="1"/>
  <c r="X38" i="1"/>
  <c r="Y38" i="1"/>
  <c r="AA38" i="1"/>
  <c r="AB38" i="1"/>
  <c r="W39" i="1"/>
  <c r="X39" i="1"/>
  <c r="Y39" i="1"/>
  <c r="AA39" i="1"/>
  <c r="AB39" i="1"/>
  <c r="W40" i="1"/>
  <c r="X40" i="1"/>
  <c r="Y40" i="1"/>
  <c r="AA40" i="1"/>
  <c r="AB40" i="1"/>
  <c r="W41" i="1"/>
  <c r="X41" i="1"/>
  <c r="Y41" i="1"/>
  <c r="AA41" i="1"/>
  <c r="AB41" i="1"/>
  <c r="W42" i="1"/>
  <c r="X42" i="1"/>
  <c r="Y42" i="1"/>
  <c r="AA42" i="1"/>
  <c r="AB42" i="1"/>
  <c r="W43" i="1"/>
  <c r="X43" i="1"/>
  <c r="Y43" i="1"/>
  <c r="AA43" i="1"/>
  <c r="AB43" i="1"/>
  <c r="W44" i="1"/>
  <c r="X44" i="1"/>
  <c r="Y44" i="1"/>
  <c r="AA44" i="1"/>
  <c r="AB44" i="1"/>
  <c r="W45" i="1"/>
  <c r="X45" i="1"/>
  <c r="Y45" i="1"/>
  <c r="AA45" i="1"/>
  <c r="AB45" i="1"/>
</calcChain>
</file>

<file path=xl/sharedStrings.xml><?xml version="1.0" encoding="utf-8"?>
<sst xmlns="http://schemas.openxmlformats.org/spreadsheetml/2006/main" count="123" uniqueCount="100">
  <si>
    <t>Datos de entrada</t>
  </si>
  <si>
    <t>H</t>
  </si>
  <si>
    <t>Q</t>
  </si>
  <si>
    <t>Etapas</t>
  </si>
  <si>
    <t>Succion</t>
  </si>
  <si>
    <t>N1</t>
  </si>
  <si>
    <t>rpm</t>
  </si>
  <si>
    <t>m</t>
  </si>
  <si>
    <t>m3/h</t>
  </si>
  <si>
    <t>m3/s</t>
  </si>
  <si>
    <t>Triang. Vel entrada</t>
  </si>
  <si>
    <t>m/s</t>
  </si>
  <si>
    <t>Temp</t>
  </si>
  <si>
    <t>S1</t>
  </si>
  <si>
    <t>mm</t>
  </si>
  <si>
    <t>NPSH</t>
  </si>
  <si>
    <t>Z</t>
  </si>
  <si>
    <t>r1/r2</t>
  </si>
  <si>
    <r>
      <t>D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/D</t>
    </r>
    <r>
      <rPr>
        <vertAlign val="subscript"/>
        <sz val="11"/>
        <color theme="1"/>
        <rFont val="Calibri"/>
        <family val="2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</si>
  <si>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scheme val="minor"/>
      </rPr>
      <t>m3</t>
    </r>
  </si>
  <si>
    <r>
      <t>C</t>
    </r>
    <r>
      <rPr>
        <vertAlign val="subscript"/>
        <sz val="11"/>
        <color theme="1"/>
        <rFont val="Calibri"/>
        <family val="2"/>
        <scheme val="minor"/>
      </rPr>
      <t>u3</t>
    </r>
  </si>
  <si>
    <r>
      <t>C</t>
    </r>
    <r>
      <rPr>
        <vertAlign val="subscript"/>
        <sz val="11"/>
        <color theme="1"/>
        <rFont val="Calibri"/>
        <family val="2"/>
        <scheme val="minor"/>
      </rPr>
      <t>u3</t>
    </r>
    <r>
      <rPr>
        <sz val="11"/>
        <color theme="1"/>
        <rFont val="Calibri"/>
        <family val="2"/>
        <scheme val="minor"/>
      </rPr>
      <t>'</t>
    </r>
  </si>
  <si>
    <r>
      <t>U</t>
    </r>
    <r>
      <rPr>
        <vertAlign val="subscript"/>
        <sz val="11"/>
        <color theme="1"/>
        <rFont val="Calibri"/>
        <family val="2"/>
        <scheme val="minor"/>
      </rPr>
      <t>2</t>
    </r>
  </si>
  <si>
    <r>
      <t>N</t>
    </r>
    <r>
      <rPr>
        <vertAlign val="subscript"/>
        <sz val="11"/>
        <rFont val="Calibri"/>
        <family val="2"/>
        <scheme val="minor"/>
      </rPr>
      <t>sm</t>
    </r>
  </si>
  <si>
    <r>
      <t>S</t>
    </r>
    <r>
      <rPr>
        <vertAlign val="subscript"/>
        <sz val="11"/>
        <rFont val="Calibri"/>
        <family val="2"/>
        <scheme val="minor"/>
      </rPr>
      <t>m</t>
    </r>
  </si>
  <si>
    <t>r1m/r2</t>
  </si>
  <si>
    <t>k</t>
  </si>
  <si>
    <t>Dim Entrada</t>
  </si>
  <si>
    <r>
      <t>r</t>
    </r>
    <r>
      <rPr>
        <vertAlign val="subscript"/>
        <sz val="11"/>
        <color theme="1"/>
        <rFont val="Calibri"/>
        <family val="2"/>
        <scheme val="minor"/>
      </rPr>
      <t>h</t>
    </r>
  </si>
  <si>
    <r>
      <t>D</t>
    </r>
    <r>
      <rPr>
        <vertAlign val="subscript"/>
        <sz val="11"/>
        <color theme="1"/>
        <rFont val="Calibri"/>
        <family val="2"/>
        <scheme val="minor"/>
      </rPr>
      <t>s</t>
    </r>
  </si>
  <si>
    <r>
      <t>r</t>
    </r>
    <r>
      <rPr>
        <vertAlign val="subscript"/>
        <sz val="11"/>
        <color theme="1"/>
        <rFont val="Calibri"/>
        <family val="2"/>
        <scheme val="minor"/>
      </rPr>
      <t>1m</t>
    </r>
  </si>
  <si>
    <t>Triang. Vel salida</t>
  </si>
  <si>
    <r>
      <t>C</t>
    </r>
    <r>
      <rPr>
        <vertAlign val="subscript"/>
        <sz val="11"/>
        <color theme="1"/>
        <rFont val="Calibri"/>
        <family val="2"/>
        <scheme val="minor"/>
      </rPr>
      <t>m0</t>
    </r>
  </si>
  <si>
    <r>
      <t>U</t>
    </r>
    <r>
      <rPr>
        <vertAlign val="subscript"/>
        <sz val="11"/>
        <color theme="1"/>
        <rFont val="Calibri"/>
        <family val="2"/>
        <scheme val="minor"/>
      </rPr>
      <t>1</t>
    </r>
  </si>
  <si>
    <t>mm2</t>
  </si>
  <si>
    <t>Dim Descarga</t>
  </si>
  <si>
    <t>Angulos entrada</t>
  </si>
  <si>
    <r>
      <t>b</t>
    </r>
    <r>
      <rPr>
        <vertAlign val="subscript"/>
        <sz val="11"/>
        <color theme="1"/>
        <rFont val="Calibri"/>
        <family val="2"/>
        <scheme val="minor"/>
      </rPr>
      <t>1s</t>
    </r>
  </si>
  <si>
    <r>
      <t>b</t>
    </r>
    <r>
      <rPr>
        <vertAlign val="subscript"/>
        <sz val="11"/>
        <color theme="1"/>
        <rFont val="Calibri"/>
        <family val="2"/>
        <scheme val="minor"/>
      </rPr>
      <t>1m</t>
    </r>
  </si>
  <si>
    <r>
      <t>b</t>
    </r>
    <r>
      <rPr>
        <vertAlign val="subscript"/>
        <sz val="11"/>
        <color theme="1"/>
        <rFont val="Calibri"/>
        <family val="2"/>
        <scheme val="minor"/>
      </rPr>
      <t>1h</t>
    </r>
  </si>
  <si>
    <t>C</t>
  </si>
  <si>
    <r>
      <t>C</t>
    </r>
    <r>
      <rPr>
        <vertAlign val="subscript"/>
        <sz val="11"/>
        <color theme="1"/>
        <rFont val="Calibri"/>
        <family val="2"/>
        <scheme val="minor"/>
      </rPr>
      <t>thr</t>
    </r>
    <r>
      <rPr>
        <sz val="11"/>
        <color theme="1"/>
        <rFont val="Calibri"/>
        <family val="2"/>
        <scheme val="minor"/>
      </rPr>
      <t>/U</t>
    </r>
    <r>
      <rPr>
        <vertAlign val="subscript"/>
        <sz val="11"/>
        <color theme="1"/>
        <rFont val="Calibri"/>
        <family val="2"/>
        <scheme val="minor"/>
      </rPr>
      <t>2</t>
    </r>
  </si>
  <si>
    <t>tongue dis</t>
  </si>
  <si>
    <t>t</t>
  </si>
  <si>
    <r>
      <t>C</t>
    </r>
    <r>
      <rPr>
        <vertAlign val="subscript"/>
        <sz val="11"/>
        <color theme="1"/>
        <rFont val="Calibri"/>
        <family val="2"/>
        <scheme val="minor"/>
      </rPr>
      <t>thr</t>
    </r>
  </si>
  <si>
    <r>
      <t>A</t>
    </r>
    <r>
      <rPr>
        <vertAlign val="subscript"/>
        <sz val="11"/>
        <color theme="1"/>
        <rFont val="Calibri"/>
        <family val="2"/>
        <scheme val="minor"/>
      </rPr>
      <t>thr</t>
    </r>
  </si>
  <si>
    <r>
      <t>R</t>
    </r>
    <r>
      <rPr>
        <vertAlign val="subscript"/>
        <sz val="11"/>
        <color theme="1"/>
        <rFont val="Calibri"/>
        <family val="2"/>
        <scheme val="minor"/>
      </rPr>
      <t>thr</t>
    </r>
  </si>
  <si>
    <r>
      <t>r</t>
    </r>
    <r>
      <rPr>
        <vertAlign val="subscript"/>
        <sz val="11"/>
        <color theme="1"/>
        <rFont val="Calibri"/>
        <family val="2"/>
        <scheme val="minor"/>
      </rPr>
      <t>4</t>
    </r>
  </si>
  <si>
    <t>Verificaciones</t>
  </si>
  <si>
    <t>min</t>
  </si>
  <si>
    <t>max</t>
  </si>
  <si>
    <r>
      <t>A</t>
    </r>
    <r>
      <rPr>
        <vertAlign val="subscript"/>
        <sz val="11"/>
        <color theme="1"/>
        <rFont val="Calibri"/>
        <family val="2"/>
        <scheme val="minor"/>
      </rPr>
      <t>II</t>
    </r>
    <r>
      <rPr>
        <sz val="11"/>
        <color theme="1"/>
        <rFont val="Calibri"/>
        <family val="2"/>
        <scheme val="minor"/>
      </rPr>
      <t>/A</t>
    </r>
    <r>
      <rPr>
        <vertAlign val="subscript"/>
        <sz val="11"/>
        <color theme="1"/>
        <rFont val="Calibri"/>
        <family val="2"/>
        <scheme val="minor"/>
      </rPr>
      <t>I</t>
    </r>
  </si>
  <si>
    <t>Resultados</t>
  </si>
  <si>
    <t>Efi</t>
  </si>
  <si>
    <t>Ps</t>
  </si>
  <si>
    <t>%</t>
  </si>
  <si>
    <t>kW</t>
  </si>
  <si>
    <t>Hp</t>
  </si>
  <si>
    <t>Estimacion perdidas</t>
  </si>
  <si>
    <r>
      <t>P</t>
    </r>
    <r>
      <rPr>
        <vertAlign val="subscript"/>
        <sz val="11"/>
        <color theme="1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/P</t>
    </r>
    <r>
      <rPr>
        <vertAlign val="subscript"/>
        <sz val="11"/>
        <color theme="1"/>
        <rFont val="Calibri"/>
        <family val="2"/>
        <scheme val="minor"/>
      </rPr>
      <t>w</t>
    </r>
  </si>
  <si>
    <r>
      <t>P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/P</t>
    </r>
    <r>
      <rPr>
        <vertAlign val="subscript"/>
        <sz val="11"/>
        <color theme="1"/>
        <rFont val="Calibri"/>
        <family val="2"/>
        <scheme val="minor"/>
      </rPr>
      <t>w</t>
    </r>
  </si>
  <si>
    <r>
      <t>S</t>
    </r>
    <r>
      <rPr>
        <vertAlign val="subscript"/>
        <sz val="11"/>
        <color theme="1"/>
        <rFont val="Calibri"/>
        <family val="2"/>
      </rPr>
      <t>ρ</t>
    </r>
    <r>
      <rPr>
        <vertAlign val="subscript"/>
        <sz val="11"/>
        <color theme="1"/>
        <rFont val="Calibri"/>
        <family val="2"/>
        <scheme val="minor"/>
      </rPr>
      <t>gr</t>
    </r>
  </si>
  <si>
    <r>
      <t>C</t>
    </r>
    <r>
      <rPr>
        <vertAlign val="subscript"/>
        <sz val="11"/>
        <rFont val="Calibri"/>
        <family val="2"/>
        <scheme val="minor"/>
      </rPr>
      <t>m3</t>
    </r>
    <r>
      <rPr>
        <sz val="11"/>
        <rFont val="Calibri"/>
        <family val="2"/>
        <scheme val="minor"/>
      </rPr>
      <t>/U2</t>
    </r>
  </si>
  <si>
    <r>
      <t>r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/r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</si>
  <si>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color theme="1"/>
        <rFont val="Calibri"/>
        <family val="2"/>
        <scheme val="minor"/>
      </rPr>
      <t>2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</si>
  <si>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</si>
  <si>
    <r>
      <rPr>
        <sz val="11"/>
        <rFont val="Calibri"/>
        <family val="2"/>
      </rPr>
      <t>β</t>
    </r>
    <r>
      <rPr>
        <vertAlign val="subscript"/>
        <sz val="11"/>
        <rFont val="Calibri"/>
        <family val="2"/>
        <scheme val="minor"/>
      </rPr>
      <t>2</t>
    </r>
  </si>
  <si>
    <r>
      <rPr>
        <b/>
        <sz val="11"/>
        <rFont val="Calibri"/>
        <family val="2"/>
        <scheme val="minor"/>
      </rPr>
      <t>mu</t>
    </r>
    <r>
      <rPr>
        <vertAlign val="subscript"/>
        <sz val="11"/>
        <rFont val="Calibri"/>
        <family val="2"/>
        <scheme val="minor"/>
      </rPr>
      <t>stod</t>
    </r>
  </si>
  <si>
    <r>
      <rPr>
        <b/>
        <sz val="11"/>
        <rFont val="Calibri"/>
        <family val="2"/>
        <scheme val="minor"/>
      </rPr>
      <t>mu</t>
    </r>
    <r>
      <rPr>
        <vertAlign val="subscript"/>
        <sz val="11"/>
        <rFont val="Calibri"/>
        <family val="2"/>
        <scheme val="minor"/>
      </rPr>
      <t>pfei</t>
    </r>
  </si>
  <si>
    <r>
      <rPr>
        <b/>
        <sz val="11"/>
        <rFont val="Calibri"/>
        <family val="2"/>
        <scheme val="minor"/>
      </rPr>
      <t>mu</t>
    </r>
    <r>
      <rPr>
        <vertAlign val="subscript"/>
        <sz val="11"/>
        <rFont val="Calibri"/>
        <family val="2"/>
        <scheme val="minor"/>
      </rPr>
      <t>stod dix</t>
    </r>
  </si>
  <si>
    <r>
      <rPr>
        <b/>
        <sz val="11"/>
        <rFont val="Calibri"/>
        <family val="2"/>
        <scheme val="minor"/>
      </rPr>
      <t>mu</t>
    </r>
    <r>
      <rPr>
        <vertAlign val="subscript"/>
        <sz val="11"/>
        <rFont val="Calibri"/>
        <family val="2"/>
        <scheme val="minor"/>
      </rPr>
      <t>buseman</t>
    </r>
  </si>
  <si>
    <r>
      <rPr>
        <b/>
        <sz val="11"/>
        <rFont val="Calibri"/>
        <family val="2"/>
        <scheme val="minor"/>
      </rPr>
      <t>mu</t>
    </r>
    <r>
      <rPr>
        <sz val="11"/>
        <rFont val="Calibri"/>
        <family val="2"/>
        <scheme val="minor"/>
      </rPr>
      <t xml:space="preserve"> </t>
    </r>
    <r>
      <rPr>
        <vertAlign val="subscript"/>
        <sz val="11"/>
        <rFont val="Calibri"/>
        <family val="2"/>
        <scheme val="minor"/>
      </rPr>
      <t>pfe te</t>
    </r>
  </si>
  <si>
    <t>mu</t>
  </si>
  <si>
    <t>a(Pfei)</t>
  </si>
  <si>
    <r>
      <t>β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</si>
  <si>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sz val="11"/>
        <color theme="1"/>
        <rFont val="Calibri"/>
        <family val="2"/>
      </rPr>
      <t>η</t>
    </r>
    <r>
      <rPr>
        <vertAlign val="subscript"/>
        <sz val="11"/>
        <color theme="1"/>
        <rFont val="Calibri"/>
        <family val="2"/>
        <scheme val="minor"/>
      </rPr>
      <t>h</t>
    </r>
  </si>
  <si>
    <t>ψ</t>
  </si>
  <si>
    <t>g</t>
  </si>
  <si>
    <t>m/s2</t>
  </si>
  <si>
    <r>
      <t>r</t>
    </r>
    <r>
      <rPr>
        <vertAlign val="subscript"/>
        <sz val="11"/>
        <color theme="1"/>
        <rFont val="Calibri"/>
        <family val="2"/>
        <scheme val="minor"/>
      </rPr>
      <t>s = r1</t>
    </r>
  </si>
  <si>
    <r>
      <t>A</t>
    </r>
    <r>
      <rPr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</si>
  <si>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vertAlign val="subscript"/>
        <sz val="11"/>
        <color theme="1"/>
        <rFont val="Calibri"/>
        <family val="2"/>
        <scheme val="minor"/>
      </rPr>
      <t>II</t>
    </r>
  </si>
  <si>
    <t>aprox</t>
  </si>
  <si>
    <r>
      <t>A</t>
    </r>
    <r>
      <rPr>
        <vertAlign val="subscript"/>
        <sz val="11"/>
        <color theme="1"/>
        <rFont val="Calibri"/>
        <family val="2"/>
        <scheme val="minor"/>
      </rPr>
      <t>thr</t>
    </r>
    <r>
      <rPr>
        <sz val="11"/>
        <color theme="1"/>
        <rFont val="Calibri"/>
        <family val="2"/>
        <scheme val="minor"/>
      </rPr>
      <t>/A</t>
    </r>
    <r>
      <rPr>
        <vertAlign val="subscript"/>
        <sz val="11"/>
        <color theme="1"/>
        <rFont val="Calibri"/>
        <family val="2"/>
        <scheme val="minor"/>
      </rPr>
      <t>II</t>
    </r>
  </si>
  <si>
    <t>Ds/D2</t>
  </si>
  <si>
    <t>s2</t>
  </si>
  <si>
    <t>Av</t>
  </si>
  <si>
    <t>ang</t>
  </si>
  <si>
    <r>
      <rPr>
        <sz val="11"/>
        <color theme="1"/>
        <rFont val="Calibri"/>
        <family val="2"/>
      </rPr>
      <t>η</t>
    </r>
    <r>
      <rPr>
        <vertAlign val="subscript"/>
        <sz val="11"/>
        <color theme="1"/>
        <rFont val="Calibri"/>
        <family val="2"/>
        <scheme val="minor"/>
      </rPr>
      <t>v</t>
    </r>
  </si>
  <si>
    <r>
      <t>1/(η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η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)</t>
    </r>
  </si>
  <si>
    <t xml:space="preserve"> φv</t>
  </si>
  <si>
    <t>r</t>
  </si>
  <si>
    <t>rv</t>
  </si>
  <si>
    <t>Cv</t>
  </si>
  <si>
    <t>A'v</t>
  </si>
  <si>
    <t>b2</t>
  </si>
  <si>
    <t>Dh</t>
  </si>
  <si>
    <t>Torque</t>
  </si>
  <si>
    <t>N.m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</si>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</sst>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3" fillId="3" borderId="1" xfId="0" applyFont="1" applyFill="1" applyBorder="1"/>
    <xf numFmtId="0" fontId="5" fillId="2" borderId="1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2" fillId="6" borderId="1" xfId="0" applyFont="1" applyFill="1" applyBorder="1"/>
    <xf numFmtId="0" fontId="0" fillId="6" borderId="3" xfId="0" applyFill="1" applyBorder="1"/>
    <xf numFmtId="0" fontId="2" fillId="6" borderId="4" xfId="0" applyFont="1" applyFill="1" applyBorder="1"/>
    <xf numFmtId="0" fontId="0" fillId="6" borderId="0" xfId="0" applyFill="1" applyBorder="1"/>
    <xf numFmtId="0" fontId="0" fillId="6" borderId="5" xfId="0" applyFill="1" applyBorder="1"/>
    <xf numFmtId="0" fontId="2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2" fillId="5" borderId="1" xfId="0" applyFont="1" applyFill="1" applyBorder="1"/>
    <xf numFmtId="0" fontId="2" fillId="5" borderId="4" xfId="0" applyFont="1" applyFill="1" applyBorder="1"/>
    <xf numFmtId="0" fontId="2" fillId="5" borderId="6" xfId="0" applyFont="1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2" fillId="3" borderId="1" xfId="0" applyFont="1" applyFill="1" applyBorder="1"/>
    <xf numFmtId="0" fontId="2" fillId="3" borderId="4" xfId="0" applyFont="1" applyFill="1" applyBorder="1"/>
    <xf numFmtId="0" fontId="4" fillId="3" borderId="6" xfId="0" applyFont="1" applyFill="1" applyBorder="1"/>
    <xf numFmtId="0" fontId="5" fillId="3" borderId="1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8" borderId="14" xfId="0" applyFill="1" applyBorder="1"/>
    <xf numFmtId="0" fontId="0" fillId="9" borderId="16" xfId="0" applyFill="1" applyBorder="1"/>
    <xf numFmtId="0" fontId="0" fillId="9" borderId="17" xfId="0" applyFill="1" applyBorder="1"/>
    <xf numFmtId="0" fontId="1" fillId="3" borderId="0" xfId="0" applyFont="1" applyFill="1" applyBorder="1"/>
    <xf numFmtId="0" fontId="0" fillId="10" borderId="9" xfId="0" applyFill="1" applyBorder="1"/>
    <xf numFmtId="0" fontId="0" fillId="10" borderId="10" xfId="0" applyFill="1" applyBorder="1"/>
    <xf numFmtId="0" fontId="0" fillId="0" borderId="19" xfId="0" applyBorder="1"/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0" fillId="0" borderId="20" xfId="0" applyBorder="1"/>
    <xf numFmtId="0" fontId="0" fillId="4" borderId="15" xfId="0" applyFill="1" applyBorder="1"/>
    <xf numFmtId="0" fontId="0" fillId="4" borderId="21" xfId="0" applyFill="1" applyBorder="1"/>
    <xf numFmtId="0" fontId="0" fillId="4" borderId="18" xfId="0" applyFill="1" applyBorder="1"/>
    <xf numFmtId="0" fontId="0" fillId="5" borderId="9" xfId="0" applyFill="1" applyBorder="1"/>
    <xf numFmtId="0" fontId="0" fillId="5" borderId="11" xfId="0" applyFill="1" applyBorder="1"/>
    <xf numFmtId="164" fontId="2" fillId="2" borderId="0" xfId="0" applyNumberFormat="1" applyFont="1" applyFill="1" applyBorder="1"/>
    <xf numFmtId="164" fontId="0" fillId="6" borderId="2" xfId="0" applyNumberFormat="1" applyFill="1" applyBorder="1"/>
    <xf numFmtId="0" fontId="8" fillId="0" borderId="6" xfId="0" applyFont="1" applyBorder="1"/>
    <xf numFmtId="0" fontId="0" fillId="10" borderId="11" xfId="0" applyFill="1" applyBorder="1"/>
    <xf numFmtId="4" fontId="0" fillId="8" borderId="13" xfId="0" applyNumberFormat="1" applyFill="1" applyBorder="1"/>
    <xf numFmtId="0" fontId="0" fillId="0" borderId="0" xfId="0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1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411480</xdr:colOff>
      <xdr:row>0</xdr:row>
      <xdr:rowOff>0</xdr:rowOff>
    </xdr:from>
    <xdr:to>
      <xdr:col>25</xdr:col>
      <xdr:colOff>211512</xdr:colOff>
      <xdr:row>14</xdr:row>
      <xdr:rowOff>175260</xdr:rowOff>
    </xdr:to>
    <xdr:pic>
      <xdr:nvPicPr>
        <xdr:cNvPr id="2" name="Picture 1" descr="https://i.imgur.com/LYZ99ZP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3880" y="0"/>
          <a:ext cx="3642360" cy="3017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448129</xdr:colOff>
      <xdr:row>2</xdr:row>
      <xdr:rowOff>114300</xdr:rowOff>
    </xdr:from>
    <xdr:to>
      <xdr:col>22</xdr:col>
      <xdr:colOff>458924</xdr:colOff>
      <xdr:row>12</xdr:row>
      <xdr:rowOff>167640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4164129" y="558800"/>
          <a:ext cx="10795" cy="2484483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463702</xdr:colOff>
      <xdr:row>9</xdr:row>
      <xdr:rowOff>225163</xdr:rowOff>
    </xdr:from>
    <xdr:to>
      <xdr:col>25</xdr:col>
      <xdr:colOff>143214</xdr:colOff>
      <xdr:row>9</xdr:row>
      <xdr:rowOff>225163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13172521" y="2333010"/>
          <a:ext cx="2722221" cy="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512717</xdr:colOff>
      <xdr:row>7</xdr:row>
      <xdr:rowOff>127000</xdr:rowOff>
    </xdr:from>
    <xdr:to>
      <xdr:col>25</xdr:col>
      <xdr:colOff>201679</xdr:colOff>
      <xdr:row>7</xdr:row>
      <xdr:rowOff>127000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13013146" y="1796143"/>
          <a:ext cx="2727890" cy="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68580</xdr:colOff>
      <xdr:row>15</xdr:row>
      <xdr:rowOff>121920</xdr:rowOff>
    </xdr:from>
    <xdr:to>
      <xdr:col>24</xdr:col>
      <xdr:colOff>301682</xdr:colOff>
      <xdr:row>32</xdr:row>
      <xdr:rowOff>36755</xdr:rowOff>
    </xdr:to>
    <xdr:pic>
      <xdr:nvPicPr>
        <xdr:cNvPr id="8" name="Picture 7" descr="https://i.imgur.com/hNpIgr8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0580" y="3162300"/>
          <a:ext cx="2849880" cy="3230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181338</xdr:colOff>
      <xdr:row>17</xdr:row>
      <xdr:rowOff>39824</xdr:rowOff>
    </xdr:from>
    <xdr:to>
      <xdr:col>22</xdr:col>
      <xdr:colOff>181338</xdr:colOff>
      <xdr:row>30</xdr:row>
      <xdr:rowOff>100784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3897338" y="4076610"/>
          <a:ext cx="0" cy="2891245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404535</xdr:colOff>
      <xdr:row>25</xdr:row>
      <xdr:rowOff>79234</xdr:rowOff>
    </xdr:from>
    <xdr:to>
      <xdr:col>24</xdr:col>
      <xdr:colOff>236895</xdr:colOff>
      <xdr:row>25</xdr:row>
      <xdr:rowOff>79234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13285964" y="5966591"/>
          <a:ext cx="2454002" cy="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424846</xdr:colOff>
      <xdr:row>27</xdr:row>
      <xdr:rowOff>50206</xdr:rowOff>
    </xdr:from>
    <xdr:to>
      <xdr:col>24</xdr:col>
      <xdr:colOff>257206</xdr:colOff>
      <xdr:row>27</xdr:row>
      <xdr:rowOff>50206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13133665" y="6241456"/>
          <a:ext cx="2266527" cy="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556260</xdr:colOff>
      <xdr:row>14</xdr:row>
      <xdr:rowOff>198120</xdr:rowOff>
    </xdr:from>
    <xdr:to>
      <xdr:col>29</xdr:col>
      <xdr:colOff>167641</xdr:colOff>
      <xdr:row>32</xdr:row>
      <xdr:rowOff>55170</xdr:rowOff>
    </xdr:to>
    <xdr:pic>
      <xdr:nvPicPr>
        <xdr:cNvPr id="14" name="Picture 13" descr="https://i.imgur.com/IyLnt8Q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0020" y="3040380"/>
          <a:ext cx="2659380" cy="3375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142893</xdr:colOff>
      <xdr:row>16</xdr:row>
      <xdr:rowOff>137738</xdr:rowOff>
    </xdr:from>
    <xdr:to>
      <xdr:col>27</xdr:col>
      <xdr:colOff>142893</xdr:colOff>
      <xdr:row>28</xdr:row>
      <xdr:rowOff>69745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7183984" y="3936193"/>
          <a:ext cx="0" cy="2645188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538027</xdr:colOff>
      <xdr:row>23</xdr:row>
      <xdr:rowOff>21773</xdr:rowOff>
    </xdr:from>
    <xdr:to>
      <xdr:col>28</xdr:col>
      <xdr:colOff>569094</xdr:colOff>
      <xdr:row>23</xdr:row>
      <xdr:rowOff>21773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16355300" y="5471228"/>
          <a:ext cx="1866794" cy="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496900</xdr:colOff>
      <xdr:row>23</xdr:row>
      <xdr:rowOff>145097</xdr:rowOff>
    </xdr:from>
    <xdr:to>
      <xdr:col>28</xdr:col>
      <xdr:colOff>541105</xdr:colOff>
      <xdr:row>23</xdr:row>
      <xdr:rowOff>145097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16248428" y="5498500"/>
          <a:ext cx="1869830" cy="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205291</xdr:colOff>
      <xdr:row>22</xdr:row>
      <xdr:rowOff>169881</xdr:rowOff>
    </xdr:from>
    <xdr:to>
      <xdr:col>16</xdr:col>
      <xdr:colOff>169558</xdr:colOff>
      <xdr:row>46</xdr:row>
      <xdr:rowOff>18189</xdr:rowOff>
    </xdr:to>
    <xdr:pic>
      <xdr:nvPicPr>
        <xdr:cNvPr id="18" name="Picture 17" descr="https://i.imgur.com/kj6XQPh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4585" y="5223734"/>
          <a:ext cx="2565713" cy="4666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324493</xdr:colOff>
      <xdr:row>24</xdr:row>
      <xdr:rowOff>88719</xdr:rowOff>
    </xdr:from>
    <xdr:to>
      <xdr:col>14</xdr:col>
      <xdr:colOff>324493</xdr:colOff>
      <xdr:row>43</xdr:row>
      <xdr:rowOff>7893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9368707" y="5776505"/>
          <a:ext cx="0" cy="3656602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47342</xdr:colOff>
      <xdr:row>34</xdr:row>
      <xdr:rowOff>87822</xdr:rowOff>
    </xdr:from>
    <xdr:to>
      <xdr:col>16</xdr:col>
      <xdr:colOff>85442</xdr:colOff>
      <xdr:row>34</xdr:row>
      <xdr:rowOff>95442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8483771" y="7716893"/>
          <a:ext cx="2051957" cy="762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87075</xdr:colOff>
      <xdr:row>30</xdr:row>
      <xdr:rowOff>41345</xdr:rowOff>
    </xdr:from>
    <xdr:to>
      <xdr:col>16</xdr:col>
      <xdr:colOff>125175</xdr:colOff>
      <xdr:row>30</xdr:row>
      <xdr:rowOff>52493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8523504" y="6908416"/>
          <a:ext cx="2051957" cy="11148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269369</xdr:colOff>
      <xdr:row>46</xdr:row>
      <xdr:rowOff>146824</xdr:rowOff>
    </xdr:from>
    <xdr:to>
      <xdr:col>9</xdr:col>
      <xdr:colOff>72295</xdr:colOff>
      <xdr:row>62</xdr:row>
      <xdr:rowOff>167479</xdr:rowOff>
    </xdr:to>
    <xdr:pic>
      <xdr:nvPicPr>
        <xdr:cNvPr id="22" name="Picture 21" descr="https://i.imgur.com/f7CNFVl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155" y="10161681"/>
          <a:ext cx="4819426" cy="3068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18202</xdr:colOff>
      <xdr:row>50</xdr:row>
      <xdr:rowOff>172144</xdr:rowOff>
    </xdr:from>
    <xdr:to>
      <xdr:col>5</xdr:col>
      <xdr:colOff>18202</xdr:colOff>
      <xdr:row>61</xdr:row>
      <xdr:rowOff>23779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3211345" y="10949001"/>
          <a:ext cx="0" cy="1947135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626542</xdr:colOff>
      <xdr:row>58</xdr:row>
      <xdr:rowOff>67053</xdr:rowOff>
    </xdr:from>
    <xdr:to>
      <xdr:col>8</xdr:col>
      <xdr:colOff>353119</xdr:colOff>
      <xdr:row>58</xdr:row>
      <xdr:rowOff>67053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842113" y="12367910"/>
          <a:ext cx="3527506" cy="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609599</xdr:colOff>
      <xdr:row>30</xdr:row>
      <xdr:rowOff>0</xdr:rowOff>
    </xdr:from>
    <xdr:to>
      <xdr:col>9</xdr:col>
      <xdr:colOff>72277</xdr:colOff>
      <xdr:row>45</xdr:row>
      <xdr:rowOff>94620</xdr:rowOff>
    </xdr:to>
    <xdr:pic>
      <xdr:nvPicPr>
        <xdr:cNvPr id="25" name="Picture 24" descr="https://i.imgur.com/HoKp7Qm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5961529"/>
          <a:ext cx="5118847" cy="2898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479164</xdr:colOff>
      <xdr:row>32</xdr:row>
      <xdr:rowOff>153785</xdr:rowOff>
    </xdr:from>
    <xdr:to>
      <xdr:col>4</xdr:col>
      <xdr:colOff>519546</xdr:colOff>
      <xdr:row>44</xdr:row>
      <xdr:rowOff>115454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3076891" y="7450512"/>
          <a:ext cx="40382" cy="2340033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497094</xdr:colOff>
      <xdr:row>40</xdr:row>
      <xdr:rowOff>77544</xdr:rowOff>
    </xdr:from>
    <xdr:to>
      <xdr:col>8</xdr:col>
      <xdr:colOff>144780</xdr:colOff>
      <xdr:row>40</xdr:row>
      <xdr:rowOff>77544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1716294" y="7895664"/>
          <a:ext cx="3480546" cy="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45"/>
  <sheetViews>
    <sheetView tabSelected="1" zoomScale="55" zoomScaleNormal="55" workbookViewId="0">
      <selection activeCell="L22" sqref="L22"/>
    </sheetView>
  </sheetViews>
  <sheetFormatPr defaultRowHeight="15" x14ac:dyDescent="0.25"/>
  <cols>
    <col min="3" max="3" width="11.42578125" customWidth="1"/>
    <col min="11" max="11" width="12" bestFit="1" customWidth="1"/>
    <col min="12" max="12" width="12" customWidth="1"/>
    <col min="15" max="15" width="12" bestFit="1" customWidth="1"/>
    <col min="23" max="23" width="12" bestFit="1" customWidth="1"/>
  </cols>
  <sheetData>
    <row r="1" spans="2:19" ht="15.75" thickBot="1" x14ac:dyDescent="0.3"/>
    <row r="2" spans="2:19" ht="18.75" thickBot="1" x14ac:dyDescent="0.4">
      <c r="B2" s="25" t="s">
        <v>0</v>
      </c>
      <c r="C2" s="1"/>
      <c r="D2" s="2"/>
      <c r="F2" s="24" t="s">
        <v>10</v>
      </c>
      <c r="G2" s="16"/>
      <c r="H2" s="17"/>
      <c r="J2" t="s">
        <v>17</v>
      </c>
      <c r="K2">
        <f>K10/C24</f>
        <v>0.53508400589572014</v>
      </c>
      <c r="N2" s="26" t="s">
        <v>41</v>
      </c>
      <c r="O2" s="28">
        <v>0.4</v>
      </c>
    </row>
    <row r="3" spans="2:19" ht="18.75" thickBot="1" x14ac:dyDescent="0.4">
      <c r="B3" s="3" t="s">
        <v>1</v>
      </c>
      <c r="C3" s="81">
        <v>30.62</v>
      </c>
      <c r="D3" s="5" t="s">
        <v>7</v>
      </c>
      <c r="F3" s="18" t="s">
        <v>22</v>
      </c>
      <c r="G3" s="19">
        <f>SQRT(2*C28*C3/G18)</f>
        <v>25.612780021835786</v>
      </c>
      <c r="H3" s="20" t="s">
        <v>11</v>
      </c>
      <c r="J3" s="69" t="s">
        <v>25</v>
      </c>
      <c r="K3" s="70">
        <f>K11/C24</f>
        <v>0.37836152907332632</v>
      </c>
      <c r="L3" s="84"/>
      <c r="N3" s="32" t="s">
        <v>42</v>
      </c>
      <c r="O3" s="34">
        <f>0.07*C24</f>
        <v>5.903752516055909</v>
      </c>
    </row>
    <row r="4" spans="2:19" ht="18.75" thickBot="1" x14ac:dyDescent="0.4">
      <c r="B4" s="3" t="s">
        <v>2</v>
      </c>
      <c r="C4" s="4">
        <v>90</v>
      </c>
      <c r="D4" s="5" t="s">
        <v>8</v>
      </c>
      <c r="F4" s="18" t="s">
        <v>19</v>
      </c>
      <c r="G4" s="19">
        <f>C14*G3</f>
        <v>2.5612780021835788</v>
      </c>
      <c r="H4" s="20" t="s">
        <v>11</v>
      </c>
    </row>
    <row r="5" spans="2:19" ht="18.75" thickBot="1" x14ac:dyDescent="0.4">
      <c r="B5" s="3"/>
      <c r="C5" s="4">
        <v>2.5000000000000001E-2</v>
      </c>
      <c r="D5" s="5" t="s">
        <v>9</v>
      </c>
      <c r="F5" s="18" t="s">
        <v>20</v>
      </c>
      <c r="G5" s="19">
        <f>G3-G4*_xlfn.COT(PI()/180*C15)</f>
        <v>20.120101620804206</v>
      </c>
      <c r="H5" s="20" t="s">
        <v>11</v>
      </c>
      <c r="J5" s="15" t="s">
        <v>28</v>
      </c>
      <c r="K5" s="16">
        <v>0</v>
      </c>
      <c r="L5" s="17" t="s">
        <v>14</v>
      </c>
      <c r="N5" s="15" t="s">
        <v>44</v>
      </c>
      <c r="O5" s="16">
        <f>O2*G3</f>
        <v>10.245112008734315</v>
      </c>
      <c r="P5" s="17" t="s">
        <v>11</v>
      </c>
      <c r="R5" s="79" t="s">
        <v>61</v>
      </c>
      <c r="S5" s="80">
        <f>C3*C5*C28/O19</f>
        <v>9.6970216848899717</v>
      </c>
    </row>
    <row r="6" spans="2:19" ht="18.75" thickBot="1" x14ac:dyDescent="0.4">
      <c r="B6" s="3" t="s">
        <v>3</v>
      </c>
      <c r="C6" s="4"/>
      <c r="D6" s="5"/>
      <c r="F6" s="21" t="s">
        <v>21</v>
      </c>
      <c r="G6" s="22">
        <f>G21*G5</f>
        <v>14.277076051556204</v>
      </c>
      <c r="H6" s="23" t="s">
        <v>11</v>
      </c>
      <c r="J6" s="21" t="s">
        <v>26</v>
      </c>
      <c r="K6" s="22">
        <f>1-G9^2</f>
        <v>0.93240000000000001</v>
      </c>
      <c r="L6" s="23" t="s">
        <v>14</v>
      </c>
      <c r="N6" s="18" t="s">
        <v>45</v>
      </c>
      <c r="O6" s="19">
        <f>C5*10^6/O5</f>
        <v>2440.1880602853953</v>
      </c>
      <c r="P6" s="20" t="s">
        <v>34</v>
      </c>
    </row>
    <row r="7" spans="2:19" ht="18.75" thickBot="1" x14ac:dyDescent="0.4">
      <c r="B7" s="3" t="s">
        <v>4</v>
      </c>
      <c r="C7" s="4"/>
      <c r="D7" s="5"/>
      <c r="N7" s="18" t="s">
        <v>46</v>
      </c>
      <c r="O7" s="19">
        <f>SQRT(O6/PI())</f>
        <v>27.869983561826675</v>
      </c>
      <c r="P7" s="20" t="s">
        <v>14</v>
      </c>
      <c r="R7" s="15" t="s">
        <v>88</v>
      </c>
      <c r="S7" s="17">
        <f>1-0.02</f>
        <v>0.98</v>
      </c>
    </row>
    <row r="8" spans="2:19" ht="18.75" thickBot="1" x14ac:dyDescent="0.4">
      <c r="B8" s="6" t="s">
        <v>5</v>
      </c>
      <c r="C8" s="7">
        <v>2900</v>
      </c>
      <c r="D8" s="8" t="s">
        <v>6</v>
      </c>
      <c r="F8" s="26" t="s">
        <v>74</v>
      </c>
      <c r="G8" s="27">
        <v>17</v>
      </c>
      <c r="H8" s="28"/>
      <c r="J8" s="24" t="s">
        <v>27</v>
      </c>
      <c r="K8" s="16"/>
      <c r="L8" s="17"/>
      <c r="N8" s="18" t="s">
        <v>43</v>
      </c>
      <c r="O8" s="19">
        <f>O3/100*K10</f>
        <v>2.6642821619379182</v>
      </c>
      <c r="P8" s="20" t="s">
        <v>14</v>
      </c>
      <c r="R8" s="18" t="s">
        <v>59</v>
      </c>
      <c r="S8" s="20">
        <f>10.89/C11^(5/3)</f>
        <v>2.9079111933023469E-2</v>
      </c>
    </row>
    <row r="9" spans="2:19" ht="18.75" thickBot="1" x14ac:dyDescent="0.4">
      <c r="F9" s="29" t="s">
        <v>18</v>
      </c>
      <c r="G9" s="30">
        <v>0.26</v>
      </c>
      <c r="H9" s="31"/>
      <c r="J9" s="18" t="s">
        <v>29</v>
      </c>
      <c r="K9" s="19">
        <f>2897*(C5/(C8*K6*TAN(PI()/180*G8)))^(1/3)</f>
        <v>90.257244174518078</v>
      </c>
      <c r="L9" s="20" t="s">
        <v>14</v>
      </c>
      <c r="N9" s="21" t="s">
        <v>47</v>
      </c>
      <c r="O9" s="22">
        <f>C24+O8+O7</f>
        <v>114.87358738170614</v>
      </c>
      <c r="P9" s="23" t="s">
        <v>14</v>
      </c>
      <c r="R9" s="21" t="s">
        <v>60</v>
      </c>
      <c r="S9" s="23">
        <v>0.02</v>
      </c>
    </row>
    <row r="10" spans="2:19" ht="18" x14ac:dyDescent="0.35">
      <c r="B10" s="35" t="s">
        <v>15</v>
      </c>
      <c r="C10" s="82">
        <v>9.34</v>
      </c>
      <c r="D10" s="36" t="s">
        <v>7</v>
      </c>
      <c r="F10" s="29" t="s">
        <v>12</v>
      </c>
      <c r="G10" s="30"/>
      <c r="H10" s="31"/>
      <c r="J10" s="18" t="s">
        <v>79</v>
      </c>
      <c r="K10" s="19">
        <f>K9/2</f>
        <v>45.128622087259039</v>
      </c>
      <c r="L10" s="20" t="s">
        <v>14</v>
      </c>
    </row>
    <row r="11" spans="2:19" ht="18.75" thickBot="1" x14ac:dyDescent="0.4">
      <c r="B11" s="37" t="s">
        <v>23</v>
      </c>
      <c r="C11" s="38">
        <v>35</v>
      </c>
      <c r="D11" s="39"/>
      <c r="F11" s="32" t="s">
        <v>13</v>
      </c>
      <c r="G11" s="33">
        <v>4</v>
      </c>
      <c r="H11" s="34" t="s">
        <v>14</v>
      </c>
      <c r="J11" s="21" t="s">
        <v>30</v>
      </c>
      <c r="K11" s="22">
        <f>SQRT((K10^2+K5^2)/2)</f>
        <v>31.910754703505873</v>
      </c>
      <c r="L11" s="23" t="s">
        <v>14</v>
      </c>
      <c r="N11" s="68" t="s">
        <v>48</v>
      </c>
      <c r="P11" s="19" t="s">
        <v>49</v>
      </c>
      <c r="Q11" t="s">
        <v>50</v>
      </c>
    </row>
    <row r="12" spans="2:19" ht="18.75" thickBot="1" x14ac:dyDescent="0.4">
      <c r="B12" s="40" t="s">
        <v>24</v>
      </c>
      <c r="C12" s="41">
        <f>SQRT(C5)*C8/(0.9*C10)^(3/4)</f>
        <v>92.880803331024509</v>
      </c>
      <c r="D12" s="42">
        <f>C12*51.65</f>
        <v>4797.2934920474154</v>
      </c>
      <c r="J12" s="19" t="s">
        <v>96</v>
      </c>
      <c r="K12">
        <f>K9*G9</f>
        <v>23.466883485374701</v>
      </c>
      <c r="N12" s="69" t="s">
        <v>51</v>
      </c>
      <c r="O12" s="70">
        <f ca="1">K18/K17</f>
        <v>1.0226892701653658</v>
      </c>
      <c r="P12" s="71">
        <v>1</v>
      </c>
      <c r="Q12" s="59">
        <v>1.3</v>
      </c>
    </row>
    <row r="13" spans="2:19" ht="15.75" thickBot="1" x14ac:dyDescent="0.3">
      <c r="J13" s="24" t="s">
        <v>31</v>
      </c>
      <c r="K13" s="16"/>
      <c r="L13" s="17"/>
    </row>
    <row r="14" spans="2:19" ht="18.75" thickBot="1" x14ac:dyDescent="0.4">
      <c r="B14" s="43" t="s">
        <v>62</v>
      </c>
      <c r="C14" s="28">
        <v>0.1</v>
      </c>
      <c r="J14" s="18" t="s">
        <v>32</v>
      </c>
      <c r="K14" s="19">
        <f>C5*10^6/PI()/K10^2</f>
        <v>3.907383058482798</v>
      </c>
      <c r="L14" s="20" t="s">
        <v>11</v>
      </c>
      <c r="N14" s="69" t="s">
        <v>40</v>
      </c>
      <c r="O14" s="70">
        <f>O5*O9/G6/C24</f>
        <v>0.97738916010472254</v>
      </c>
      <c r="P14" s="71">
        <v>0.9</v>
      </c>
      <c r="Q14" s="59">
        <v>1</v>
      </c>
    </row>
    <row r="15" spans="2:19" ht="18.75" thickBot="1" x14ac:dyDescent="0.4">
      <c r="B15" s="44" t="s">
        <v>66</v>
      </c>
      <c r="C15" s="31">
        <v>25</v>
      </c>
      <c r="D15">
        <v>17</v>
      </c>
      <c r="J15" s="21" t="s">
        <v>33</v>
      </c>
      <c r="K15" s="22">
        <f>PI()*K10*C8/30/1000</f>
        <v>13.704988936209764</v>
      </c>
      <c r="L15" s="23" t="s">
        <v>11</v>
      </c>
    </row>
    <row r="16" spans="2:19" ht="18.75" thickBot="1" x14ac:dyDescent="0.4">
      <c r="B16" s="44" t="s">
        <v>16</v>
      </c>
      <c r="C16" s="31">
        <v>6</v>
      </c>
      <c r="N16" s="69" t="s">
        <v>83</v>
      </c>
      <c r="O16" s="70">
        <f>O6/K18</f>
        <v>0.75292477935106505</v>
      </c>
      <c r="P16" s="71">
        <v>1</v>
      </c>
      <c r="Q16" s="59">
        <v>1.3</v>
      </c>
    </row>
    <row r="17" spans="2:20" ht="18" x14ac:dyDescent="0.35">
      <c r="B17" s="44" t="s">
        <v>73</v>
      </c>
      <c r="C17" s="31">
        <v>0.65</v>
      </c>
      <c r="F17" s="9" t="s">
        <v>75</v>
      </c>
      <c r="G17" s="10">
        <f>1-0.071/C5^0.25</f>
        <v>0.82144445298502311</v>
      </c>
      <c r="H17" s="11"/>
      <c r="J17" s="9" t="s">
        <v>80</v>
      </c>
      <c r="K17" s="10">
        <f ca="1">PI()*K10^2*SIN(PI()/180*K22)</f>
        <v>3169.0420947553898</v>
      </c>
      <c r="L17" s="11" t="s">
        <v>34</v>
      </c>
      <c r="Q17" t="s">
        <v>82</v>
      </c>
    </row>
    <row r="18" spans="2:20" ht="18.75" thickBot="1" x14ac:dyDescent="0.4">
      <c r="B18" s="45" t="s">
        <v>63</v>
      </c>
      <c r="C18" s="34">
        <v>0.5</v>
      </c>
      <c r="F18" s="83" t="s">
        <v>76</v>
      </c>
      <c r="G18" s="13">
        <f>2*G21*G17*(1-C14*_xlfn.COT(PI()/180*C15))</f>
        <v>0.91577914755038536</v>
      </c>
      <c r="H18" s="14"/>
      <c r="J18" s="12" t="s">
        <v>81</v>
      </c>
      <c r="K18" s="13">
        <f>C25*(2*PI()*C24*SIN(PI()/180*C15)-C16*K19)</f>
        <v>3240.9453470087119</v>
      </c>
      <c r="L18" s="14" t="s">
        <v>34</v>
      </c>
      <c r="N18" s="53" t="s">
        <v>52</v>
      </c>
      <c r="R18" s="52" t="s">
        <v>58</v>
      </c>
    </row>
    <row r="19" spans="2:20" ht="15.75" thickBot="1" x14ac:dyDescent="0.3">
      <c r="J19" s="86" t="s">
        <v>85</v>
      </c>
      <c r="K19">
        <v>8</v>
      </c>
      <c r="N19" s="46" t="s">
        <v>53</v>
      </c>
      <c r="O19" s="47">
        <f>1/(S22+S21+S20)</f>
        <v>0.77441870751939113</v>
      </c>
      <c r="P19" s="48" t="s">
        <v>55</v>
      </c>
    </row>
    <row r="20" spans="2:20" ht="18.75" thickBot="1" x14ac:dyDescent="0.4">
      <c r="F20" s="55" t="s">
        <v>67</v>
      </c>
      <c r="G20" s="17">
        <f>1-(PI()*SIN(PI()/180*C15)/C16)</f>
        <v>0.77871759560708842</v>
      </c>
      <c r="J20" s="54" t="s">
        <v>36</v>
      </c>
      <c r="K20" s="10"/>
      <c r="L20" s="11"/>
      <c r="N20" s="72" t="s">
        <v>54</v>
      </c>
      <c r="O20" s="73">
        <f>1/O19*C28*C5*C3</f>
        <v>9.6970216848899735</v>
      </c>
      <c r="P20" s="74" t="s">
        <v>56</v>
      </c>
      <c r="R20" s="61" t="s">
        <v>59</v>
      </c>
      <c r="S20" s="62">
        <f>S8</f>
        <v>2.9079111933023469E-2</v>
      </c>
      <c r="T20" s="76"/>
    </row>
    <row r="21" spans="2:20" ht="18.75" thickBot="1" x14ac:dyDescent="0.4">
      <c r="B21" s="58" t="s">
        <v>35</v>
      </c>
      <c r="C21" s="16"/>
      <c r="D21" s="17"/>
      <c r="F21" s="56" t="s">
        <v>68</v>
      </c>
      <c r="G21" s="20">
        <f>1/(1+C17/C16*(1+C15/60)*2/(1-C18^2))</f>
        <v>0.70959264126149801</v>
      </c>
      <c r="J21" s="9" t="s">
        <v>37</v>
      </c>
      <c r="K21" s="10" t="s">
        <v>38</v>
      </c>
      <c r="L21" s="11" t="s">
        <v>39</v>
      </c>
      <c r="N21" s="72"/>
      <c r="O21" s="73">
        <f>O20/0.746</f>
        <v>12.998688585643396</v>
      </c>
      <c r="P21" s="74" t="s">
        <v>57</v>
      </c>
      <c r="R21" s="75" t="s">
        <v>60</v>
      </c>
      <c r="S21" s="60">
        <f>S9</f>
        <v>0.02</v>
      </c>
      <c r="T21" s="77"/>
    </row>
    <row r="22" spans="2:20" ht="18.75" thickBot="1" x14ac:dyDescent="0.4">
      <c r="B22" s="18"/>
      <c r="C22" s="19"/>
      <c r="D22" s="20"/>
      <c r="F22" s="56" t="s">
        <v>69</v>
      </c>
      <c r="G22" s="20"/>
      <c r="J22" s="85">
        <f ca="1">J23</f>
        <v>20.241131506815805</v>
      </c>
      <c r="K22" s="65">
        <f ca="1">K23</f>
        <v>29.689960402225775</v>
      </c>
      <c r="L22" s="67"/>
      <c r="N22" s="49" t="s">
        <v>97</v>
      </c>
      <c r="O22" s="50">
        <f>O20*60*1000/(C8*2*PI())</f>
        <v>31.930943470749085</v>
      </c>
      <c r="P22" s="51" t="s">
        <v>98</v>
      </c>
      <c r="R22" s="63" t="s">
        <v>89</v>
      </c>
      <c r="S22" s="64">
        <f>1/(S7*G17)</f>
        <v>1.2422120078323917</v>
      </c>
      <c r="T22" s="78"/>
    </row>
    <row r="23" spans="2:20" ht="18.75" thickBot="1" x14ac:dyDescent="0.4">
      <c r="B23" s="18" t="s">
        <v>64</v>
      </c>
      <c r="C23" s="19">
        <f>60*G3*1000/PI()/C8</f>
        <v>168.67864331588311</v>
      </c>
      <c r="D23" s="20" t="s">
        <v>14</v>
      </c>
      <c r="F23" s="56" t="s">
        <v>70</v>
      </c>
      <c r="G23" s="20"/>
      <c r="J23" s="66">
        <f ca="1">+ATAN(TAN(PI()/180*G8)*K10/(K10*(1-C16*G11/(2*PI()*K10*SIN(PI()/180*K22)))))*180/PI()</f>
        <v>20.241131506815805</v>
      </c>
      <c r="K23" s="67">
        <f ca="1">+ATAN(TAN(PI()/180*G8)*K10/(K11*(1-C16*G11/(2*PI()*K11*SIN(PI()/180*K22)))))*180/PI()</f>
        <v>29.689960402225775</v>
      </c>
      <c r="L23" s="67"/>
      <c r="S23">
        <v>18</v>
      </c>
    </row>
    <row r="24" spans="2:20" ht="18" x14ac:dyDescent="0.35">
      <c r="B24" s="18" t="s">
        <v>65</v>
      </c>
      <c r="C24" s="19">
        <f>C23/2</f>
        <v>84.339321657941554</v>
      </c>
      <c r="D24" s="20" t="s">
        <v>14</v>
      </c>
      <c r="F24" s="56" t="s">
        <v>71</v>
      </c>
      <c r="G24" s="20"/>
      <c r="R24" t="s">
        <v>99</v>
      </c>
      <c r="S24">
        <f>1/(S22+S20+S21)</f>
        <v>0.77441870751939113</v>
      </c>
    </row>
    <row r="25" spans="2:20" ht="15.75" thickBot="1" x14ac:dyDescent="0.3">
      <c r="B25" s="21" t="s">
        <v>95</v>
      </c>
      <c r="C25" s="22">
        <f>C5*10^6/2/C24/G4/PI()</f>
        <v>18.419308300503751</v>
      </c>
      <c r="D25" s="23" t="s">
        <v>14</v>
      </c>
      <c r="F25" s="57" t="s">
        <v>72</v>
      </c>
      <c r="G25" s="23"/>
      <c r="S25">
        <v>11</v>
      </c>
    </row>
    <row r="26" spans="2:20" ht="15.75" thickBot="1" x14ac:dyDescent="0.3"/>
    <row r="27" spans="2:20" ht="15.75" thickBot="1" x14ac:dyDescent="0.3">
      <c r="R27" s="15" t="s">
        <v>86</v>
      </c>
      <c r="S27" s="17" t="s">
        <v>87</v>
      </c>
    </row>
    <row r="28" spans="2:20" ht="15.75" thickBot="1" x14ac:dyDescent="0.3">
      <c r="B28" s="87" t="s">
        <v>77</v>
      </c>
      <c r="C28" s="89">
        <v>9.81</v>
      </c>
      <c r="D28" s="88" t="s">
        <v>78</v>
      </c>
      <c r="F28" s="87" t="s">
        <v>84</v>
      </c>
      <c r="G28" s="88">
        <f>K9/C23</f>
        <v>0.53508400589572014</v>
      </c>
      <c r="R28" s="18">
        <f>$O$6/360*S28</f>
        <v>0</v>
      </c>
      <c r="S28" s="20">
        <v>0</v>
      </c>
    </row>
    <row r="29" spans="2:20" x14ac:dyDescent="0.25">
      <c r="R29" s="18">
        <f t="shared" ref="R29:R36" si="0">$O$6/360*S29</f>
        <v>305.02350753567441</v>
      </c>
      <c r="S29" s="20">
        <v>45</v>
      </c>
    </row>
    <row r="30" spans="2:20" x14ac:dyDescent="0.25">
      <c r="R30" s="18">
        <f t="shared" si="0"/>
        <v>610.04701507134882</v>
      </c>
      <c r="S30" s="20">
        <v>90</v>
      </c>
    </row>
    <row r="31" spans="2:20" x14ac:dyDescent="0.25">
      <c r="R31" s="18">
        <f t="shared" si="0"/>
        <v>915.07052260702324</v>
      </c>
      <c r="S31" s="20">
        <v>135</v>
      </c>
    </row>
    <row r="32" spans="2:20" x14ac:dyDescent="0.25">
      <c r="R32" s="18">
        <f t="shared" si="0"/>
        <v>1220.0940301426976</v>
      </c>
      <c r="S32" s="20">
        <v>180</v>
      </c>
    </row>
    <row r="33" spans="18:28" x14ac:dyDescent="0.25">
      <c r="R33" s="18">
        <f t="shared" si="0"/>
        <v>1525.1175376783719</v>
      </c>
      <c r="S33" s="20">
        <v>225</v>
      </c>
    </row>
    <row r="34" spans="18:28" x14ac:dyDescent="0.25">
      <c r="R34" s="18">
        <f t="shared" si="0"/>
        <v>1830.1410452140465</v>
      </c>
      <c r="S34" s="20">
        <v>270</v>
      </c>
    </row>
    <row r="35" spans="18:28" ht="15.75" thickBot="1" x14ac:dyDescent="0.3">
      <c r="R35" s="18">
        <f t="shared" si="0"/>
        <v>2135.1645527497208</v>
      </c>
      <c r="S35" s="20">
        <v>315</v>
      </c>
    </row>
    <row r="36" spans="18:28" ht="15.75" thickBot="1" x14ac:dyDescent="0.3">
      <c r="R36" s="21">
        <f t="shared" si="0"/>
        <v>2440.1880602853953</v>
      </c>
      <c r="S36" s="23">
        <v>360</v>
      </c>
      <c r="V36" s="99" t="s">
        <v>90</v>
      </c>
      <c r="W36" s="101" t="s">
        <v>86</v>
      </c>
      <c r="X36" s="101" t="s">
        <v>91</v>
      </c>
      <c r="Y36" s="101" t="s">
        <v>92</v>
      </c>
      <c r="Z36" s="101"/>
      <c r="AA36" s="101" t="s">
        <v>93</v>
      </c>
      <c r="AB36" s="98" t="s">
        <v>94</v>
      </c>
    </row>
    <row r="37" spans="18:28" ht="15.75" thickBot="1" x14ac:dyDescent="0.3">
      <c r="V37" s="90">
        <v>0</v>
      </c>
      <c r="W37" s="91">
        <f ca="1">AB37</f>
        <v>0</v>
      </c>
      <c r="X37" s="91">
        <f ca="1">+SQRT(W37/PI())</f>
        <v>0</v>
      </c>
      <c r="Y37" s="91">
        <f ca="1">+X37+$C$24</f>
        <v>84.339321657941554</v>
      </c>
      <c r="Z37" s="91"/>
      <c r="AA37" s="91">
        <f ca="1">+$C$24*$O$14*$G$6/Y37</f>
        <v>13.954259370781765</v>
      </c>
      <c r="AB37" s="92">
        <f ca="1">+$C$5*10^6*V37/360/AA37</f>
        <v>0</v>
      </c>
    </row>
    <row r="38" spans="18:28" ht="15.75" thickBot="1" x14ac:dyDescent="0.3">
      <c r="V38" s="93">
        <v>45</v>
      </c>
      <c r="W38" s="91">
        <f ca="1">AB38</f>
        <v>247.51483158702266</v>
      </c>
      <c r="X38" s="100">
        <f t="shared" ref="X38:X45" ca="1" si="1">+SQRT(W38/PI())</f>
        <v>8.8761713520675851</v>
      </c>
      <c r="Y38" s="100">
        <f t="shared" ref="Y38:Y45" ca="1" si="2">+X38+$C$24</f>
        <v>93.215493010009141</v>
      </c>
      <c r="Z38" s="100"/>
      <c r="AA38" s="100">
        <f t="shared" ref="AA38:AA45" ca="1" si="3">+$C$24*$O$14*$G$6/Y38</f>
        <v>12.625506035185996</v>
      </c>
      <c r="AB38" s="94">
        <f t="shared" ref="AB38:AB45" ca="1" si="4">+$C$5*10^6*V38/360/AA38</f>
        <v>247.51483158702266</v>
      </c>
    </row>
    <row r="39" spans="18:28" ht="15.75" thickBot="1" x14ac:dyDescent="0.3">
      <c r="V39" s="93">
        <v>90</v>
      </c>
      <c r="W39" s="91">
        <f t="shared" ref="W39:W45" ca="1" si="5">AB39</f>
        <v>515.94870676620758</v>
      </c>
      <c r="X39" s="100">
        <f t="shared" ca="1" si="1"/>
        <v>12.815286736059615</v>
      </c>
      <c r="Y39" s="100">
        <f t="shared" ca="1" si="2"/>
        <v>97.154608394001173</v>
      </c>
      <c r="Z39" s="100"/>
      <c r="AA39" s="100">
        <f t="shared" ca="1" si="3"/>
        <v>12.113607259862887</v>
      </c>
      <c r="AB39" s="94">
        <f t="shared" ca="1" si="4"/>
        <v>515.94870676620758</v>
      </c>
    </row>
    <row r="40" spans="18:28" ht="15.75" thickBot="1" x14ac:dyDescent="0.3">
      <c r="V40" s="93">
        <v>135</v>
      </c>
      <c r="W40" s="91">
        <f t="shared" ca="1" si="5"/>
        <v>798.86489918317045</v>
      </c>
      <c r="X40" s="100">
        <f t="shared" ca="1" si="1"/>
        <v>15.946366204725777</v>
      </c>
      <c r="Y40" s="100">
        <f t="shared" ca="1" si="2"/>
        <v>100.28568786266733</v>
      </c>
      <c r="Z40" s="100"/>
      <c r="AA40" s="100">
        <f t="shared" ca="1" si="3"/>
        <v>11.735401079188511</v>
      </c>
      <c r="AB40" s="94">
        <f t="shared" ca="1" si="4"/>
        <v>798.86489918317045</v>
      </c>
    </row>
    <row r="41" spans="18:28" ht="15.75" thickBot="1" x14ac:dyDescent="0.3">
      <c r="V41" s="93">
        <v>180</v>
      </c>
      <c r="W41" s="91">
        <f t="shared" ca="1" si="5"/>
        <v>1093.9838291442727</v>
      </c>
      <c r="X41" s="100">
        <f t="shared" ca="1" si="1"/>
        <v>18.66081102583221</v>
      </c>
      <c r="Y41" s="100">
        <f t="shared" ca="1" si="2"/>
        <v>103.00013268377376</v>
      </c>
      <c r="Z41" s="100"/>
      <c r="AA41" s="100">
        <f t="shared" ca="1" si="3"/>
        <v>11.426128674843072</v>
      </c>
      <c r="AB41" s="94">
        <f t="shared" ca="1" si="4"/>
        <v>1093.9838291442727</v>
      </c>
    </row>
    <row r="42" spans="18:28" ht="15.75" thickBot="1" x14ac:dyDescent="0.3">
      <c r="V42" s="93">
        <v>225</v>
      </c>
      <c r="W42" s="91">
        <f t="shared" ca="1" si="5"/>
        <v>1399.9966175690076</v>
      </c>
      <c r="X42" s="100">
        <f t="shared" ca="1" si="1"/>
        <v>21.110015727044892</v>
      </c>
      <c r="Y42" s="100">
        <f t="shared" ca="1" si="2"/>
        <v>105.44933738498645</v>
      </c>
      <c r="Z42" s="100"/>
      <c r="AA42" s="100">
        <f t="shared" ca="1" si="3"/>
        <v>11.160741250312217</v>
      </c>
      <c r="AB42" s="94">
        <f t="shared" ca="1" si="4"/>
        <v>1399.9966175690076</v>
      </c>
    </row>
    <row r="43" spans="18:28" ht="15.75" thickBot="1" x14ac:dyDescent="0.3">
      <c r="V43" s="93">
        <v>270</v>
      </c>
      <c r="W43" s="91">
        <f t="shared" ca="1" si="5"/>
        <v>1716.0257396630273</v>
      </c>
      <c r="X43" s="100">
        <f t="shared" ca="1" si="1"/>
        <v>23.37152023041277</v>
      </c>
      <c r="Y43" s="100">
        <f t="shared" ca="1" si="2"/>
        <v>107.71084188835432</v>
      </c>
      <c r="Z43" s="100"/>
      <c r="AA43" s="100">
        <f t="shared" ca="1" si="3"/>
        <v>10.926409532576068</v>
      </c>
      <c r="AB43" s="94">
        <f t="shared" ca="1" si="4"/>
        <v>1716.0257396630273</v>
      </c>
    </row>
    <row r="44" spans="18:28" ht="15.75" thickBot="1" x14ac:dyDescent="0.3">
      <c r="V44" s="93">
        <v>315</v>
      </c>
      <c r="W44" s="91">
        <f t="shared" ca="1" si="5"/>
        <v>2041.4310195325354</v>
      </c>
      <c r="X44" s="100">
        <f t="shared" ca="1" si="1"/>
        <v>25.49132549475333</v>
      </c>
      <c r="Y44" s="100">
        <f t="shared" ca="1" si="2"/>
        <v>109.83064715269488</v>
      </c>
      <c r="Z44" s="100"/>
      <c r="AA44" s="100">
        <f t="shared" ca="1" si="3"/>
        <v>10.715522489223822</v>
      </c>
      <c r="AB44" s="94">
        <f t="shared" ca="1" si="4"/>
        <v>2041.4310195325354</v>
      </c>
    </row>
    <row r="45" spans="18:28" ht="15.75" thickBot="1" x14ac:dyDescent="0.3">
      <c r="V45" s="95">
        <v>360</v>
      </c>
      <c r="W45" s="91">
        <f t="shared" ca="1" si="5"/>
        <v>2375.7195307636816</v>
      </c>
      <c r="X45" s="96">
        <f t="shared" ca="1" si="1"/>
        <v>27.499363873406164</v>
      </c>
      <c r="Y45" s="96">
        <f t="shared" ca="1" si="2"/>
        <v>111.83868553134772</v>
      </c>
      <c r="Z45" s="96"/>
      <c r="AA45" s="96">
        <f t="shared" ca="1" si="3"/>
        <v>10.523127699322185</v>
      </c>
      <c r="AB45" s="97">
        <f t="shared" ca="1" si="4"/>
        <v>2375.7195307636816</v>
      </c>
    </row>
  </sheetData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Camussoni</dc:creator>
  <cp:lastModifiedBy>Rolando Cabrera</cp:lastModifiedBy>
  <dcterms:created xsi:type="dcterms:W3CDTF">2020-08-29T14:00:37Z</dcterms:created>
  <dcterms:modified xsi:type="dcterms:W3CDTF">2020-09-07T13:40:34Z</dcterms:modified>
</cp:coreProperties>
</file>