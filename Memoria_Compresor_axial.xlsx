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rolo_\Documents\MEGAsync\quinto semestre\maquinas termicas\diseño 2\"/>
    </mc:Choice>
  </mc:AlternateContent>
  <xr:revisionPtr revIDLastSave="0" documentId="13_ncr:1_{3B9D3EBE-7EC9-496C-8407-F97FB13C2710}" xr6:coauthVersionLast="45" xr6:coauthVersionMax="45" xr10:uidLastSave="{00000000-0000-0000-0000-000000000000}"/>
  <bookViews>
    <workbookView xWindow="-120" yWindow="-120" windowWidth="20730" windowHeight="11310" activeTab="2" xr2:uid="{00000000-000D-0000-FFFF-FFFF00000000}"/>
  </bookViews>
  <sheets>
    <sheet name="Analisis sensibilidad" sheetId="3" r:id="rId1"/>
    <sheet name="Diseño" sheetId="1" r:id="rId2"/>
    <sheet name="Presentacion de resultados" sheetId="2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7" i="1" l="1"/>
  <c r="L27" i="1"/>
  <c r="V11" i="1" l="1"/>
  <c r="U12" i="1" l="1"/>
  <c r="U13" i="1"/>
  <c r="U14" i="1"/>
  <c r="U15" i="1"/>
  <c r="U16" i="1"/>
  <c r="U11" i="1"/>
  <c r="V4" i="3"/>
  <c r="V3" i="3"/>
  <c r="C5" i="3"/>
  <c r="C36" i="3" l="1" a="1"/>
  <c r="C36" i="3" s="1"/>
  <c r="C35" i="3" a="1"/>
  <c r="C35" i="3" s="1"/>
  <c r="C34" i="3" a="1"/>
  <c r="C34" i="3" s="1"/>
  <c r="C33" i="3" a="1"/>
  <c r="C33" i="3" s="1"/>
  <c r="H28" i="3"/>
  <c r="H29" i="3" s="1"/>
  <c r="H30" i="3" s="1"/>
  <c r="H31" i="3" s="1"/>
  <c r="H32" i="3" s="1"/>
  <c r="H27" i="3"/>
  <c r="B23" i="3"/>
  <c r="L22" i="3"/>
  <c r="L21" i="3"/>
  <c r="L20" i="3"/>
  <c r="L19" i="3"/>
  <c r="L18" i="3"/>
  <c r="L17" i="3"/>
  <c r="Y16" i="3"/>
  <c r="L16" i="3"/>
  <c r="E16" i="3"/>
  <c r="Y15" i="3"/>
  <c r="L15" i="3"/>
  <c r="H15" i="3"/>
  <c r="E15" i="3"/>
  <c r="L14" i="3"/>
  <c r="E14" i="3"/>
  <c r="Y14" i="3" s="1"/>
  <c r="L13" i="3"/>
  <c r="E13" i="3"/>
  <c r="Y12" i="3"/>
  <c r="L12" i="3"/>
  <c r="E12" i="3"/>
  <c r="V11" i="3"/>
  <c r="O11" i="3"/>
  <c r="N11" i="3"/>
  <c r="L11" i="3"/>
  <c r="H11" i="3"/>
  <c r="C11" i="3"/>
  <c r="E11" i="3" s="1"/>
  <c r="C8" i="3"/>
  <c r="I4" i="3" s="1"/>
  <c r="L3" i="3" s="1"/>
  <c r="O7" i="3"/>
  <c r="F7" i="3"/>
  <c r="F6" i="3"/>
  <c r="W11" i="3" s="1"/>
  <c r="X11" i="3" s="1"/>
  <c r="V5" i="3"/>
  <c r="R3" i="3"/>
  <c r="I2" i="3"/>
  <c r="O2" i="3" l="1"/>
  <c r="F27" i="3"/>
  <c r="K13" i="3"/>
  <c r="H14" i="3"/>
  <c r="H16" i="3"/>
  <c r="H12" i="3"/>
  <c r="C27" i="3"/>
  <c r="K16" i="3"/>
  <c r="K12" i="3"/>
  <c r="H13" i="3"/>
  <c r="K15" i="3"/>
  <c r="K11" i="3"/>
  <c r="V6" i="3"/>
  <c r="K14" i="3"/>
  <c r="I3" i="3"/>
  <c r="I5" i="3"/>
  <c r="J16" i="1"/>
  <c r="K16" i="1"/>
  <c r="X29" i="1"/>
  <c r="X30" i="1"/>
  <c r="X31" i="1"/>
  <c r="X32" i="1"/>
  <c r="X33" i="1"/>
  <c r="X28" i="1"/>
  <c r="H27" i="1"/>
  <c r="H28" i="1" s="1"/>
  <c r="H29" i="1" s="1"/>
  <c r="H30" i="1" s="1"/>
  <c r="H31" i="1" s="1"/>
  <c r="H32" i="1" s="1"/>
  <c r="C33" i="1" a="1"/>
  <c r="C33" i="1" s="1"/>
  <c r="C34" i="1" a="1"/>
  <c r="C34" i="1" s="1"/>
  <c r="C35" i="1" a="1"/>
  <c r="C35" i="1" s="1"/>
  <c r="C36" i="1" a="1"/>
  <c r="C36" i="1" s="1"/>
  <c r="O11" i="1"/>
  <c r="E13" i="1"/>
  <c r="E14" i="1"/>
  <c r="Y14" i="1" s="1"/>
  <c r="E15" i="1"/>
  <c r="Y15" i="1" s="1"/>
  <c r="E16" i="1"/>
  <c r="E12" i="1"/>
  <c r="N11" i="1"/>
  <c r="C11" i="1"/>
  <c r="E11" i="1" s="1"/>
  <c r="O4" i="3" l="1"/>
  <c r="O3" i="3" s="1"/>
  <c r="E27" i="3"/>
  <c r="T27" i="3" s="1"/>
  <c r="Y12" i="1"/>
  <c r="F7" i="1"/>
  <c r="C8" i="1" s="1"/>
  <c r="X33" i="3" l="1"/>
  <c r="X32" i="3"/>
  <c r="X31" i="3"/>
  <c r="X30" i="3"/>
  <c r="X29" i="3"/>
  <c r="X28" i="3"/>
  <c r="L2" i="3"/>
  <c r="L5" i="3" s="1"/>
  <c r="G27" i="3"/>
  <c r="Q27" i="3" s="1"/>
  <c r="S27" i="3" s="1"/>
  <c r="B23" i="1"/>
  <c r="O7" i="1"/>
  <c r="L27" i="3" l="1"/>
  <c r="V28" i="3"/>
  <c r="R27" i="3"/>
  <c r="U27" i="3" s="1"/>
  <c r="M16" i="3"/>
  <c r="D13" i="3"/>
  <c r="M12" i="3"/>
  <c r="D14" i="3"/>
  <c r="D16" i="3"/>
  <c r="D12" i="3"/>
  <c r="M11" i="3"/>
  <c r="R2" i="3"/>
  <c r="L7" i="3" s="1"/>
  <c r="Y13" i="3" s="1"/>
  <c r="D11" i="3"/>
  <c r="F11" i="3" s="1"/>
  <c r="D15" i="3"/>
  <c r="R6" i="3"/>
  <c r="R7" i="3"/>
  <c r="Y11" i="3"/>
  <c r="M15" i="3"/>
  <c r="M13" i="3"/>
  <c r="M14" i="3"/>
  <c r="L13" i="1"/>
  <c r="L11" i="1"/>
  <c r="L12" i="1"/>
  <c r="L20" i="1"/>
  <c r="L19" i="1"/>
  <c r="L15" i="1"/>
  <c r="L16" i="1"/>
  <c r="L22" i="1"/>
  <c r="L18" i="1"/>
  <c r="L14" i="1"/>
  <c r="L21" i="1"/>
  <c r="L17" i="1"/>
  <c r="I2" i="1"/>
  <c r="V3" i="1" s="1"/>
  <c r="F12" i="3" l="1"/>
  <c r="I12" i="3"/>
  <c r="AA12" i="3" s="1" a="1"/>
  <c r="AA12" i="3" s="1"/>
  <c r="V29" i="3"/>
  <c r="F16" i="3"/>
  <c r="J16" i="3" s="1"/>
  <c r="I16" i="3"/>
  <c r="AA16" i="3" s="1" a="1"/>
  <c r="AA16" i="3" s="1"/>
  <c r="V7" i="3"/>
  <c r="I11" i="3"/>
  <c r="AA11" i="3" s="1" a="1"/>
  <c r="AA11" i="3" s="1"/>
  <c r="F14" i="3"/>
  <c r="I14" i="3"/>
  <c r="AA14" i="3" s="1" a="1"/>
  <c r="AA14" i="3" s="1"/>
  <c r="M23" i="3"/>
  <c r="M24" i="3"/>
  <c r="P11" i="3"/>
  <c r="N12" i="3"/>
  <c r="P12" i="3" s="1"/>
  <c r="F15" i="3"/>
  <c r="I15" i="3"/>
  <c r="AA15" i="3" s="1" a="1"/>
  <c r="AA15" i="3" s="1"/>
  <c r="F13" i="3"/>
  <c r="I13" i="3"/>
  <c r="AA13" i="3" s="1" a="1"/>
  <c r="AA13" i="3" s="1"/>
  <c r="J11" i="3"/>
  <c r="Y16" i="1"/>
  <c r="H15" i="1"/>
  <c r="H16" i="1"/>
  <c r="K11" i="1"/>
  <c r="H12" i="1"/>
  <c r="H11" i="1"/>
  <c r="V6" i="1"/>
  <c r="H13" i="1"/>
  <c r="H14" i="1"/>
  <c r="K15" i="1"/>
  <c r="K14" i="1"/>
  <c r="K13" i="1"/>
  <c r="K12" i="1"/>
  <c r="V5" i="1"/>
  <c r="F6" i="1"/>
  <c r="N13" i="3" l="1"/>
  <c r="Z16" i="3" a="1"/>
  <c r="Z16" i="3" s="1"/>
  <c r="J14" i="3"/>
  <c r="J15" i="3"/>
  <c r="J13" i="3"/>
  <c r="J12" i="3"/>
  <c r="Z11" i="3" a="1"/>
  <c r="Z11" i="3" s="1"/>
  <c r="O12" i="3"/>
  <c r="R3" i="1"/>
  <c r="I5" i="1"/>
  <c r="I4" i="1"/>
  <c r="L3" i="1" s="1"/>
  <c r="I3" i="1"/>
  <c r="Z12" i="3" l="1" a="1"/>
  <c r="Z12" i="3" s="1"/>
  <c r="Z13" i="3" a="1"/>
  <c r="Z13" i="3" s="1"/>
  <c r="Z15" i="3" a="1"/>
  <c r="Z15" i="3" s="1"/>
  <c r="Z14" i="3" a="1"/>
  <c r="Z14" i="3" s="1"/>
  <c r="O13" i="3"/>
  <c r="N14" i="3"/>
  <c r="P13" i="3"/>
  <c r="O2" i="1"/>
  <c r="E27" i="1" s="1"/>
  <c r="F27" i="1"/>
  <c r="N15" i="3" l="1"/>
  <c r="P14" i="3"/>
  <c r="O14" i="3"/>
  <c r="T27" i="1"/>
  <c r="O4" i="1"/>
  <c r="O3" i="1" s="1"/>
  <c r="G27" i="1"/>
  <c r="Q27" i="1" s="1"/>
  <c r="S27" i="1" s="1"/>
  <c r="V28" i="1" s="1"/>
  <c r="N16" i="3" l="1"/>
  <c r="P15" i="3"/>
  <c r="O15" i="3"/>
  <c r="L2" i="1"/>
  <c r="R27" i="1"/>
  <c r="U27" i="1" s="1"/>
  <c r="V29" i="1" s="1"/>
  <c r="O16" i="3" l="1"/>
  <c r="P16" i="3"/>
  <c r="P23" i="3" s="1"/>
  <c r="D14" i="1"/>
  <c r="D15" i="1"/>
  <c r="D16" i="1"/>
  <c r="M11" i="1"/>
  <c r="R6" i="1"/>
  <c r="D11" i="1"/>
  <c r="F11" i="1" s="1"/>
  <c r="M16" i="1"/>
  <c r="M15" i="1"/>
  <c r="M14" i="1"/>
  <c r="M13" i="1"/>
  <c r="M12" i="1"/>
  <c r="D12" i="1"/>
  <c r="D13" i="1"/>
  <c r="R7" i="1"/>
  <c r="R2" i="1"/>
  <c r="L7" i="1" s="1"/>
  <c r="Y13" i="1" s="1"/>
  <c r="L5" i="1"/>
  <c r="Y11" i="1" s="1"/>
  <c r="J11" i="1" l="1"/>
  <c r="V4" i="1"/>
  <c r="V7" i="1"/>
  <c r="I11" i="1"/>
  <c r="AA11" i="1" s="1" a="1"/>
  <c r="AA11" i="1" s="1"/>
  <c r="F13" i="1"/>
  <c r="I13" i="1"/>
  <c r="AA13" i="1" s="1" a="1"/>
  <c r="AA13" i="1" s="1"/>
  <c r="F12" i="1"/>
  <c r="I12" i="1"/>
  <c r="AA12" i="1" s="1" a="1"/>
  <c r="AA12" i="1" s="1"/>
  <c r="P11" i="1"/>
  <c r="M23" i="1"/>
  <c r="M24" i="1"/>
  <c r="N12" i="1"/>
  <c r="P12" i="1" s="1"/>
  <c r="F16" i="1"/>
  <c r="I16" i="1"/>
  <c r="AA16" i="1" s="1" a="1"/>
  <c r="AA16" i="1" s="1"/>
  <c r="I15" i="1"/>
  <c r="AA15" i="1" s="1" a="1"/>
  <c r="AA15" i="1" s="1"/>
  <c r="F15" i="1"/>
  <c r="F14" i="1"/>
  <c r="I14" i="1"/>
  <c r="AA14" i="1" s="1" a="1"/>
  <c r="AA14" i="1" s="1"/>
  <c r="J13" i="1" l="1"/>
  <c r="J14" i="1"/>
  <c r="J12" i="1"/>
  <c r="J15" i="1"/>
  <c r="N13" i="1"/>
  <c r="O12" i="1"/>
  <c r="Z11" i="1" a="1"/>
  <c r="Z11" i="1" s="1"/>
  <c r="Z16" i="1" l="1" a="1"/>
  <c r="Z16" i="1" s="1"/>
  <c r="N14" i="1"/>
  <c r="P13" i="1"/>
  <c r="Z14" i="1" a="1"/>
  <c r="Z14" i="1" s="1"/>
  <c r="Z12" i="1" a="1"/>
  <c r="Z12" i="1" s="1"/>
  <c r="Z13" i="1" a="1"/>
  <c r="Z13" i="1" s="1"/>
  <c r="Z15" i="1" a="1"/>
  <c r="Z15" i="1" s="1"/>
  <c r="O13" i="1"/>
  <c r="O14" i="1" l="1"/>
  <c r="N15" i="1"/>
  <c r="P14" i="1"/>
  <c r="O15" i="1" s="1"/>
  <c r="N16" i="1" l="1"/>
  <c r="P15" i="1"/>
  <c r="O16" i="1" s="1"/>
  <c r="P16" i="1" l="1"/>
  <c r="P23" i="1"/>
  <c r="AD6" i="3"/>
  <c r="G11" i="3" a="1"/>
  <c r="G11" i="3"/>
  <c r="R11" i="3"/>
  <c r="S11" i="3"/>
  <c r="T11" i="3" a="1"/>
  <c r="T11" i="3"/>
  <c r="G12" i="3" a="1"/>
  <c r="G12" i="3"/>
  <c r="R12" i="3"/>
  <c r="S12" i="3"/>
  <c r="T12" i="3" a="1"/>
  <c r="T12" i="3"/>
  <c r="V12" i="3"/>
  <c r="W12" i="3"/>
  <c r="X12" i="3"/>
  <c r="G13" i="3" a="1"/>
  <c r="G13" i="3"/>
  <c r="R13" i="3"/>
  <c r="S13" i="3"/>
  <c r="T13" i="3" a="1"/>
  <c r="T13" i="3"/>
  <c r="V13" i="3"/>
  <c r="W13" i="3"/>
  <c r="X13" i="3"/>
  <c r="G14" i="3" a="1"/>
  <c r="G14" i="3"/>
  <c r="R14" i="3"/>
  <c r="S14" i="3"/>
  <c r="T14" i="3" a="1"/>
  <c r="T14" i="3"/>
  <c r="V14" i="3"/>
  <c r="W14" i="3"/>
  <c r="X14" i="3"/>
  <c r="G15" i="3" a="1"/>
  <c r="G15" i="3"/>
  <c r="R15" i="3"/>
  <c r="S15" i="3"/>
  <c r="T15" i="3" a="1"/>
  <c r="T15" i="3"/>
  <c r="V15" i="3"/>
  <c r="W15" i="3"/>
  <c r="X15" i="3"/>
  <c r="G16" i="3" a="1"/>
  <c r="G16" i="3"/>
  <c r="R16" i="3"/>
  <c r="S16" i="3"/>
  <c r="T16" i="3" a="1"/>
  <c r="T16" i="3"/>
  <c r="V16" i="3"/>
  <c r="W16" i="3"/>
  <c r="X16" i="3"/>
  <c r="C28" i="3"/>
  <c r="E28" i="3" a="1"/>
  <c r="E28" i="3"/>
  <c r="F28" i="3" a="1"/>
  <c r="F28" i="3"/>
  <c r="G28" i="3"/>
  <c r="L28" i="3"/>
  <c r="P28" i="3"/>
  <c r="Q28" i="3"/>
  <c r="R28" i="3"/>
  <c r="S28" i="3"/>
  <c r="T28" i="3"/>
  <c r="U28" i="3"/>
  <c r="C29" i="3"/>
  <c r="E29" i="3" a="1"/>
  <c r="E29" i="3"/>
  <c r="F29" i="3" a="1"/>
  <c r="F29" i="3"/>
  <c r="G29" i="3"/>
  <c r="L29" i="3"/>
  <c r="P29" i="3"/>
  <c r="Q29" i="3"/>
  <c r="R29" i="3"/>
  <c r="S29" i="3"/>
  <c r="T29" i="3"/>
  <c r="U29" i="3"/>
  <c r="C30" i="3"/>
  <c r="E30" i="3" a="1"/>
  <c r="E30" i="3"/>
  <c r="F30" i="3" a="1"/>
  <c r="F30" i="3"/>
  <c r="G30" i="3"/>
  <c r="L30" i="3"/>
  <c r="P30" i="3"/>
  <c r="Q30" i="3"/>
  <c r="R30" i="3"/>
  <c r="S30" i="3"/>
  <c r="T30" i="3"/>
  <c r="U30" i="3"/>
  <c r="V30" i="3"/>
  <c r="C31" i="3"/>
  <c r="E31" i="3" a="1"/>
  <c r="E31" i="3"/>
  <c r="F31" i="3" a="1"/>
  <c r="F31" i="3"/>
  <c r="G31" i="3"/>
  <c r="L31" i="3"/>
  <c r="P31" i="3"/>
  <c r="Q31" i="3"/>
  <c r="R31" i="3"/>
  <c r="S31" i="3"/>
  <c r="T31" i="3"/>
  <c r="U31" i="3"/>
  <c r="V31" i="3"/>
  <c r="C32" i="3"/>
  <c r="E32" i="3" a="1"/>
  <c r="E32" i="3"/>
  <c r="F32" i="3" a="1"/>
  <c r="F32" i="3"/>
  <c r="G32" i="3"/>
  <c r="L32" i="3"/>
  <c r="P32" i="3"/>
  <c r="Q32" i="3"/>
  <c r="R32" i="3"/>
  <c r="S32" i="3"/>
  <c r="T32" i="3"/>
  <c r="U32" i="3"/>
  <c r="V32" i="3"/>
  <c r="V33" i="3"/>
  <c r="V34" i="3"/>
  <c r="W34" i="3"/>
  <c r="AD6" i="1"/>
  <c r="G11" i="1" a="1"/>
  <c r="G11" i="1"/>
  <c r="R11" i="1"/>
  <c r="S11" i="1"/>
  <c r="T11" i="1" a="1"/>
  <c r="T11" i="1"/>
  <c r="W11" i="1"/>
  <c r="X11" i="1"/>
  <c r="G12" i="1" a="1"/>
  <c r="G12" i="1"/>
  <c r="R12" i="1"/>
  <c r="S12" i="1"/>
  <c r="T12" i="1" a="1"/>
  <c r="T12" i="1"/>
  <c r="V12" i="1"/>
  <c r="W12" i="1"/>
  <c r="X12" i="1"/>
  <c r="G13" i="1" a="1"/>
  <c r="G13" i="1"/>
  <c r="R13" i="1"/>
  <c r="S13" i="1"/>
  <c r="T13" i="1" a="1"/>
  <c r="T13" i="1"/>
  <c r="V13" i="1"/>
  <c r="W13" i="1"/>
  <c r="X13" i="1"/>
  <c r="G14" i="1" a="1"/>
  <c r="G14" i="1"/>
  <c r="R14" i="1"/>
  <c r="S14" i="1"/>
  <c r="T14" i="1" a="1"/>
  <c r="T14" i="1"/>
  <c r="V14" i="1"/>
  <c r="W14" i="1"/>
  <c r="X14" i="1"/>
  <c r="G15" i="1" a="1"/>
  <c r="G15" i="1"/>
  <c r="R15" i="1"/>
  <c r="S15" i="1"/>
  <c r="T15" i="1" a="1"/>
  <c r="T15" i="1"/>
  <c r="V15" i="1"/>
  <c r="W15" i="1"/>
  <c r="X15" i="1"/>
  <c r="G16" i="1" a="1"/>
  <c r="G16" i="1"/>
  <c r="R16" i="1"/>
  <c r="S16" i="1"/>
  <c r="T16" i="1" a="1"/>
  <c r="T16" i="1"/>
  <c r="V16" i="1"/>
  <c r="W16" i="1"/>
  <c r="X16" i="1"/>
  <c r="C27" i="1"/>
  <c r="C28" i="1"/>
  <c r="E28" i="1" a="1"/>
  <c r="E28" i="1"/>
  <c r="F28" i="1" a="1"/>
  <c r="F28" i="1"/>
  <c r="G28" i="1"/>
  <c r="L28" i="1"/>
  <c r="P28" i="1"/>
  <c r="Q28" i="1"/>
  <c r="R28" i="1"/>
  <c r="S28" i="1"/>
  <c r="T28" i="1"/>
  <c r="U28" i="1"/>
  <c r="C29" i="1"/>
  <c r="E29" i="1" a="1"/>
  <c r="E29" i="1"/>
  <c r="F29" i="1" a="1"/>
  <c r="F29" i="1"/>
  <c r="G29" i="1"/>
  <c r="L29" i="1"/>
  <c r="P29" i="1"/>
  <c r="Q29" i="1"/>
  <c r="R29" i="1"/>
  <c r="S29" i="1"/>
  <c r="T29" i="1"/>
  <c r="U29" i="1"/>
  <c r="C30" i="1"/>
  <c r="E30" i="1" a="1"/>
  <c r="E30" i="1"/>
  <c r="F30" i="1" a="1"/>
  <c r="F30" i="1"/>
  <c r="G30" i="1"/>
  <c r="L30" i="1"/>
  <c r="P30" i="1"/>
  <c r="Q30" i="1"/>
  <c r="R30" i="1"/>
  <c r="S30" i="1"/>
  <c r="T30" i="1"/>
  <c r="U30" i="1"/>
  <c r="V30" i="1"/>
  <c r="C31" i="1"/>
  <c r="E31" i="1" a="1"/>
  <c r="E31" i="1"/>
  <c r="F31" i="1" a="1"/>
  <c r="F31" i="1"/>
  <c r="G31" i="1"/>
  <c r="L31" i="1"/>
  <c r="P31" i="1"/>
  <c r="Q31" i="1"/>
  <c r="R31" i="1"/>
  <c r="S31" i="1"/>
  <c r="T31" i="1"/>
  <c r="U31" i="1"/>
  <c r="V31" i="1"/>
  <c r="C32" i="1"/>
  <c r="E32" i="1" a="1"/>
  <c r="E32" i="1"/>
  <c r="F32" i="1" a="1"/>
  <c r="F32" i="1"/>
  <c r="G32" i="1"/>
  <c r="L32" i="1"/>
  <c r="P32" i="1"/>
  <c r="Q32" i="1"/>
  <c r="R32" i="1"/>
  <c r="S32" i="1"/>
  <c r="T32" i="1"/>
  <c r="U32" i="1"/>
  <c r="V32" i="1"/>
  <c r="V33" i="1"/>
  <c r="V34" i="1"/>
  <c r="W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<sst xmlns="http://schemas.openxmlformats.org/spreadsheetml/2006/main" count="314" uniqueCount="139">
  <si>
    <t>Datos</t>
  </si>
  <si>
    <t>Calculos</t>
  </si>
  <si>
    <t>ṁ</t>
  </si>
  <si>
    <t>Velocidades</t>
  </si>
  <si>
    <t>Area</t>
  </si>
  <si>
    <t>R</t>
  </si>
  <si>
    <t>γ</t>
  </si>
  <si>
    <t>γ/(γ-1)</t>
  </si>
  <si>
    <t>Ma</t>
  </si>
  <si>
    <t>Ra</t>
  </si>
  <si>
    <t>Numero de etapas tentativo</t>
  </si>
  <si>
    <t>f</t>
  </si>
  <si>
    <t>Rotor</t>
  </si>
  <si>
    <t>Estator</t>
  </si>
  <si>
    <t>Q</t>
  </si>
  <si>
    <t>Perfil</t>
  </si>
  <si>
    <t>l/s</t>
  </si>
  <si>
    <t>alabes</t>
  </si>
  <si>
    <t>sep</t>
  </si>
  <si>
    <r>
      <t>T</t>
    </r>
    <r>
      <rPr>
        <vertAlign val="subscript"/>
        <sz val="11"/>
        <color rgb="FF000000"/>
        <rFont val="Calibri"/>
        <family val="2"/>
      </rPr>
      <t>0e</t>
    </r>
  </si>
  <si>
    <r>
      <t>α</t>
    </r>
    <r>
      <rPr>
        <vertAlign val="subscript"/>
        <sz val="11"/>
        <color rgb="FF000000"/>
        <rFont val="Calibri"/>
        <family val="2"/>
      </rPr>
      <t>1</t>
    </r>
  </si>
  <si>
    <r>
      <t>C</t>
    </r>
    <r>
      <rPr>
        <vertAlign val="subscript"/>
        <sz val="11"/>
        <color rgb="FF000000"/>
        <rFont val="Calibri"/>
        <family val="2"/>
      </rPr>
      <t>p</t>
    </r>
  </si>
  <si>
    <r>
      <t>T</t>
    </r>
    <r>
      <rPr>
        <vertAlign val="subscript"/>
        <sz val="10"/>
        <rFont val="Arial"/>
        <family val="2"/>
      </rPr>
      <t>e</t>
    </r>
  </si>
  <si>
    <r>
      <t>P</t>
    </r>
    <r>
      <rPr>
        <vertAlign val="subscript"/>
        <sz val="10"/>
        <rFont val="Arial"/>
        <family val="2"/>
      </rPr>
      <t>e</t>
    </r>
  </si>
  <si>
    <r>
      <t>ρ</t>
    </r>
    <r>
      <rPr>
        <vertAlign val="subscript"/>
        <sz val="10"/>
        <color rgb="FF000000"/>
        <rFont val="Roboto"/>
      </rPr>
      <t>e</t>
    </r>
  </si>
  <si>
    <r>
      <t>U</t>
    </r>
    <r>
      <rPr>
        <vertAlign val="subscript"/>
        <sz val="10"/>
        <rFont val="Arial"/>
        <family val="2"/>
      </rPr>
      <t>m</t>
    </r>
  </si>
  <si>
    <r>
      <t>R</t>
    </r>
    <r>
      <rPr>
        <vertAlign val="subscript"/>
        <sz val="10"/>
        <rFont val="Arial"/>
        <family val="2"/>
      </rPr>
      <t>tip</t>
    </r>
  </si>
  <si>
    <r>
      <t>R</t>
    </r>
    <r>
      <rPr>
        <vertAlign val="subscript"/>
        <sz val="10"/>
        <rFont val="Arial"/>
        <family val="2"/>
      </rPr>
      <t>hub</t>
    </r>
  </si>
  <si>
    <r>
      <t>α</t>
    </r>
    <r>
      <rPr>
        <vertAlign val="subscript"/>
        <sz val="10"/>
        <color rgb="FF000000"/>
        <rFont val="Roboto"/>
      </rPr>
      <t>1i</t>
    </r>
  </si>
  <si>
    <r>
      <t>α</t>
    </r>
    <r>
      <rPr>
        <vertAlign val="subscript"/>
        <sz val="10"/>
        <color rgb="FF000000"/>
        <rFont val="Roboto"/>
      </rPr>
      <t>2i</t>
    </r>
  </si>
  <si>
    <r>
      <t>β</t>
    </r>
    <r>
      <rPr>
        <vertAlign val="subscript"/>
        <sz val="10"/>
        <rFont val="Arial"/>
        <family val="2"/>
      </rPr>
      <t>2i</t>
    </r>
  </si>
  <si>
    <r>
      <t>β</t>
    </r>
    <r>
      <rPr>
        <vertAlign val="subscript"/>
        <sz val="10"/>
        <rFont val="Arial"/>
        <family val="2"/>
      </rPr>
      <t>1i</t>
    </r>
  </si>
  <si>
    <r>
      <t>c</t>
    </r>
    <r>
      <rPr>
        <vertAlign val="subscript"/>
        <sz val="10"/>
        <rFont val="Arial"/>
        <family val="2"/>
      </rPr>
      <t>1</t>
    </r>
  </si>
  <si>
    <r>
      <t>c</t>
    </r>
    <r>
      <rPr>
        <vertAlign val="subscript"/>
        <sz val="10"/>
        <rFont val="Arial"/>
        <family val="2"/>
      </rPr>
      <t>2</t>
    </r>
  </si>
  <si>
    <r>
      <t>w</t>
    </r>
    <r>
      <rPr>
        <vertAlign val="subscript"/>
        <sz val="10"/>
        <rFont val="Arial"/>
        <family val="2"/>
      </rPr>
      <t>1</t>
    </r>
  </si>
  <si>
    <r>
      <t>w</t>
    </r>
    <r>
      <rPr>
        <vertAlign val="subscript"/>
        <sz val="10"/>
        <rFont val="Arial"/>
        <family val="2"/>
      </rPr>
      <t>2</t>
    </r>
  </si>
  <si>
    <r>
      <t>K</t>
    </r>
    <r>
      <rPr>
        <vertAlign val="subscript"/>
        <sz val="10"/>
        <rFont val="Arial"/>
        <family val="2"/>
      </rPr>
      <t>w</t>
    </r>
  </si>
  <si>
    <r>
      <t>ΔT</t>
    </r>
    <r>
      <rPr>
        <vertAlign val="subscript"/>
        <sz val="10"/>
        <color rgb="FF000000"/>
        <rFont val="Arial"/>
        <family val="2"/>
      </rPr>
      <t>0i</t>
    </r>
  </si>
  <si>
    <r>
      <t>T</t>
    </r>
    <r>
      <rPr>
        <vertAlign val="subscript"/>
        <sz val="10"/>
        <rFont val="Arial"/>
        <family val="2"/>
      </rPr>
      <t>0i</t>
    </r>
  </si>
  <si>
    <r>
      <t>P</t>
    </r>
    <r>
      <rPr>
        <vertAlign val="subscript"/>
        <sz val="10"/>
        <rFont val="Arial"/>
        <family val="2"/>
      </rPr>
      <t>0i</t>
    </r>
  </si>
  <si>
    <r>
      <t>P</t>
    </r>
    <r>
      <rPr>
        <vertAlign val="subscript"/>
        <sz val="10"/>
        <color rgb="FFFFFFFF"/>
        <rFont val="Arial"/>
        <family val="2"/>
      </rPr>
      <t>0ii</t>
    </r>
    <r>
      <rPr>
        <sz val="10"/>
        <color rgb="FFFFFFFF"/>
        <rFont val="Arial"/>
        <family val="2"/>
      </rPr>
      <t>/P</t>
    </r>
    <r>
      <rPr>
        <vertAlign val="subscript"/>
        <sz val="10"/>
        <color rgb="FFFFFFFF"/>
        <rFont val="Arial"/>
        <family val="2"/>
      </rPr>
      <t>0i</t>
    </r>
  </si>
  <si>
    <r>
      <t>Ma</t>
    </r>
    <r>
      <rPr>
        <vertAlign val="subscript"/>
        <sz val="10"/>
        <rFont val="Arial"/>
        <family val="2"/>
      </rPr>
      <t>iR</t>
    </r>
  </si>
  <si>
    <r>
      <t>Ma</t>
    </r>
    <r>
      <rPr>
        <vertAlign val="subscript"/>
        <sz val="10"/>
        <rFont val="Arial"/>
        <family val="2"/>
      </rPr>
      <t>iS</t>
    </r>
  </si>
  <si>
    <r>
      <t>T</t>
    </r>
    <r>
      <rPr>
        <vertAlign val="subscript"/>
        <sz val="10"/>
        <rFont val="Arial"/>
        <family val="2"/>
      </rPr>
      <t>i</t>
    </r>
  </si>
  <si>
    <r>
      <t>P</t>
    </r>
    <r>
      <rPr>
        <vertAlign val="subscript"/>
        <sz val="10"/>
        <rFont val="Arial"/>
        <family val="2"/>
      </rPr>
      <t>i</t>
    </r>
  </si>
  <si>
    <r>
      <t>ρ</t>
    </r>
    <r>
      <rPr>
        <vertAlign val="subscript"/>
        <sz val="10"/>
        <rFont val="Arial"/>
        <family val="2"/>
      </rPr>
      <t>i</t>
    </r>
  </si>
  <si>
    <r>
      <t>C</t>
    </r>
    <r>
      <rPr>
        <vertAlign val="subscript"/>
        <sz val="10"/>
        <rFont val="Arial"/>
        <family val="2"/>
      </rPr>
      <t>pR</t>
    </r>
  </si>
  <si>
    <r>
      <t>β</t>
    </r>
    <r>
      <rPr>
        <vertAlign val="subscript"/>
        <sz val="10"/>
        <rFont val="Arial"/>
        <family val="2"/>
      </rPr>
      <t>1</t>
    </r>
  </si>
  <si>
    <r>
      <t>α</t>
    </r>
    <r>
      <rPr>
        <vertAlign val="subscript"/>
        <sz val="10"/>
        <rFont val="Arial"/>
        <family val="2"/>
      </rPr>
      <t>2</t>
    </r>
  </si>
  <si>
    <r>
      <t>P</t>
    </r>
    <r>
      <rPr>
        <vertAlign val="subscript"/>
        <sz val="10"/>
        <color rgb="FF000000"/>
        <rFont val="Arial"/>
        <family val="2"/>
      </rPr>
      <t>ii</t>
    </r>
    <r>
      <rPr>
        <sz val="10"/>
        <color rgb="FF000000"/>
        <rFont val="Arial"/>
        <family val="2"/>
      </rPr>
      <t>/P</t>
    </r>
    <r>
      <rPr>
        <vertAlign val="subscript"/>
        <sz val="10"/>
        <color rgb="FF000000"/>
        <rFont val="Arial"/>
        <family val="2"/>
      </rPr>
      <t>i</t>
    </r>
  </si>
  <si>
    <r>
      <t>C</t>
    </r>
    <r>
      <rPr>
        <vertAlign val="subscript"/>
        <sz val="10"/>
        <color rgb="FF000000"/>
        <rFont val="Arial"/>
        <family val="2"/>
      </rPr>
      <t>pS</t>
    </r>
  </si>
  <si>
    <r>
      <t>A</t>
    </r>
    <r>
      <rPr>
        <vertAlign val="subscript"/>
        <sz val="10"/>
        <rFont val="Arial"/>
        <family val="2"/>
      </rPr>
      <t>i</t>
    </r>
  </si>
  <si>
    <r>
      <t>H</t>
    </r>
    <r>
      <rPr>
        <vertAlign val="subscript"/>
        <sz val="10"/>
        <rFont val="Arial"/>
        <family val="2"/>
      </rPr>
      <t>i</t>
    </r>
  </si>
  <si>
    <r>
      <t>λ</t>
    </r>
    <r>
      <rPr>
        <vertAlign val="subscript"/>
        <sz val="10"/>
        <rFont val="Arial"/>
        <family val="2"/>
      </rPr>
      <t>R</t>
    </r>
  </si>
  <si>
    <r>
      <t>λ</t>
    </r>
    <r>
      <rPr>
        <vertAlign val="subscript"/>
        <sz val="11"/>
        <color rgb="FF4D5156"/>
        <rFont val="Arial"/>
        <family val="2"/>
      </rPr>
      <t>E</t>
    </r>
  </si>
  <si>
    <r>
      <t>c</t>
    </r>
    <r>
      <rPr>
        <vertAlign val="subscript"/>
        <sz val="10"/>
        <rFont val="Arial"/>
        <family val="2"/>
      </rPr>
      <t>i</t>
    </r>
  </si>
  <si>
    <r>
      <t>L</t>
    </r>
    <r>
      <rPr>
        <vertAlign val="subscript"/>
        <sz val="10"/>
        <rFont val="Arial"/>
        <family val="2"/>
      </rPr>
      <t>etapa</t>
    </r>
  </si>
  <si>
    <r>
      <t>R</t>
    </r>
    <r>
      <rPr>
        <vertAlign val="subscript"/>
        <sz val="10"/>
        <rFont val="Arial"/>
        <family val="2"/>
      </rPr>
      <t>h</t>
    </r>
    <r>
      <rPr>
        <sz val="10"/>
        <rFont val="Arial"/>
        <family val="2"/>
      </rPr>
      <t>/R</t>
    </r>
    <r>
      <rPr>
        <vertAlign val="subscript"/>
        <sz val="10"/>
        <rFont val="Arial"/>
        <family val="2"/>
      </rPr>
      <t>t</t>
    </r>
  </si>
  <si>
    <t>Media</t>
  </si>
  <si>
    <t>Desv</t>
  </si>
  <si>
    <t>Tot</t>
  </si>
  <si>
    <r>
      <t>C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/U</t>
    </r>
  </si>
  <si>
    <t>kg/s</t>
  </si>
  <si>
    <t>kPa</t>
  </si>
  <si>
    <t>K</t>
  </si>
  <si>
    <t>J/molK</t>
  </si>
  <si>
    <r>
      <t>P</t>
    </r>
    <r>
      <rPr>
        <vertAlign val="subscript"/>
        <sz val="11"/>
        <color rgb="FF000000"/>
        <rFont val="Calibri"/>
        <family val="2"/>
      </rPr>
      <t>s</t>
    </r>
    <r>
      <rPr>
        <sz val="11"/>
        <color rgb="FF000000"/>
        <rFont val="Calibri"/>
        <family val="2"/>
      </rPr>
      <t>/P</t>
    </r>
    <r>
      <rPr>
        <vertAlign val="subscript"/>
        <sz val="11"/>
        <color rgb="FF000000"/>
        <rFont val="Calibri"/>
        <family val="2"/>
      </rPr>
      <t>e</t>
    </r>
  </si>
  <si>
    <t>^cte gas</t>
  </si>
  <si>
    <r>
      <t>P</t>
    </r>
    <r>
      <rPr>
        <vertAlign val="subscript"/>
        <sz val="11"/>
        <color rgb="FF000000"/>
        <rFont val="Calibri"/>
        <family val="2"/>
      </rPr>
      <t>0e</t>
    </r>
  </si>
  <si>
    <t>M</t>
  </si>
  <si>
    <r>
      <t>ρ</t>
    </r>
    <r>
      <rPr>
        <vertAlign val="subscript"/>
        <sz val="10"/>
        <color rgb="FF000000"/>
        <rFont val="Arial"/>
        <family val="2"/>
      </rPr>
      <t>0e</t>
    </r>
  </si>
  <si>
    <t>kg/m^3</t>
  </si>
  <si>
    <t>u</t>
  </si>
  <si>
    <r>
      <rPr>
        <sz val="10"/>
        <rFont val="Calibri"/>
        <family val="2"/>
      </rPr>
      <t>η</t>
    </r>
    <r>
      <rPr>
        <vertAlign val="subscript"/>
        <sz val="10"/>
        <rFont val="Arial"/>
        <family val="2"/>
      </rPr>
      <t>c</t>
    </r>
  </si>
  <si>
    <t>m/s</t>
  </si>
  <si>
    <r>
      <t>U</t>
    </r>
    <r>
      <rPr>
        <vertAlign val="subscript"/>
        <sz val="11"/>
        <color rgb="FF000000"/>
        <rFont val="Calibri"/>
        <family val="2"/>
      </rPr>
      <t>0tip</t>
    </r>
  </si>
  <si>
    <r>
      <t>r</t>
    </r>
    <r>
      <rPr>
        <vertAlign val="subscript"/>
        <sz val="11"/>
        <color rgb="FF000000"/>
        <rFont val="Calibri"/>
        <family val="2"/>
      </rPr>
      <t>h</t>
    </r>
    <r>
      <rPr>
        <sz val="11"/>
        <color rgb="FF000000"/>
        <rFont val="Calibri"/>
        <family val="2"/>
      </rPr>
      <t>/r</t>
    </r>
    <r>
      <rPr>
        <vertAlign val="subscript"/>
        <sz val="11"/>
        <color rgb="FF000000"/>
        <rFont val="Calibri"/>
        <family val="2"/>
      </rPr>
      <t>t</t>
    </r>
  </si>
  <si>
    <r>
      <t>r</t>
    </r>
    <r>
      <rPr>
        <vertAlign val="subscript"/>
        <sz val="10"/>
        <rFont val="Arial"/>
        <family val="2"/>
      </rPr>
      <t>tip</t>
    </r>
  </si>
  <si>
    <r>
      <t>r</t>
    </r>
    <r>
      <rPr>
        <vertAlign val="subscript"/>
        <sz val="10"/>
        <rFont val="Arial"/>
        <family val="2"/>
      </rPr>
      <t>m</t>
    </r>
  </si>
  <si>
    <r>
      <t>r</t>
    </r>
    <r>
      <rPr>
        <vertAlign val="subscript"/>
        <sz val="10"/>
        <rFont val="Arial"/>
        <family val="2"/>
      </rPr>
      <t>hub</t>
    </r>
  </si>
  <si>
    <r>
      <t>c</t>
    </r>
    <r>
      <rPr>
        <vertAlign val="subscript"/>
        <sz val="10"/>
        <rFont val="Arial"/>
        <family val="2"/>
      </rPr>
      <t>x</t>
    </r>
  </si>
  <si>
    <t>J/kgK</t>
  </si>
  <si>
    <r>
      <t>η</t>
    </r>
    <r>
      <rPr>
        <vertAlign val="subscript"/>
        <sz val="11"/>
        <color rgb="FF000000"/>
        <rFont val="Calibri"/>
        <family val="2"/>
      </rPr>
      <t>pt</t>
    </r>
  </si>
  <si>
    <t>m^2</t>
  </si>
  <si>
    <t>m</t>
  </si>
  <si>
    <r>
      <t>β</t>
    </r>
    <r>
      <rPr>
        <vertAlign val="subscript"/>
        <sz val="10"/>
        <rFont val="Arial"/>
        <family val="2"/>
      </rPr>
      <t>2</t>
    </r>
  </si>
  <si>
    <r>
      <t>ΔT</t>
    </r>
    <r>
      <rPr>
        <vertAlign val="subscript"/>
        <sz val="10"/>
        <rFont val="Arial"/>
        <family val="2"/>
      </rPr>
      <t>0tot</t>
    </r>
  </si>
  <si>
    <r>
      <t>ΔT</t>
    </r>
    <r>
      <rPr>
        <vertAlign val="subscript"/>
        <sz val="10"/>
        <rFont val="Arial"/>
        <family val="2"/>
      </rPr>
      <t>0etap</t>
    </r>
  </si>
  <si>
    <t>alpha</t>
  </si>
  <si>
    <t>beta</t>
  </si>
  <si>
    <t>gamma</t>
  </si>
  <si>
    <t>delta</t>
  </si>
  <si>
    <t>epsilon</t>
  </si>
  <si>
    <t>Cp</t>
  </si>
  <si>
    <t>65-12-10</t>
  </si>
  <si>
    <t>h/c</t>
  </si>
  <si>
    <t>L_etapa+huelgo</t>
  </si>
  <si>
    <t>Ltotal[m]</t>
  </si>
  <si>
    <t>65-8-10</t>
  </si>
  <si>
    <t>35-12-10</t>
  </si>
  <si>
    <t>xgraph</t>
  </si>
  <si>
    <t>rm</t>
  </si>
  <si>
    <t xml:space="preserve">esta es </t>
  </si>
  <si>
    <t>α1i</t>
  </si>
  <si>
    <t>α2i</t>
  </si>
  <si>
    <t>β2i</t>
  </si>
  <si>
    <t>β1i</t>
  </si>
  <si>
    <t>Etapas</t>
  </si>
  <si>
    <t>MaiR</t>
  </si>
  <si>
    <t>MaiS</t>
  </si>
  <si>
    <t>CpR</t>
  </si>
  <si>
    <t>CpS</t>
  </si>
  <si>
    <t>Rh/Rt</t>
  </si>
  <si>
    <t>Variacion del cp</t>
  </si>
  <si>
    <t>psi</t>
  </si>
  <si>
    <t>$c_1$ $\frac{m}{s}$</t>
  </si>
  <si>
    <t>$c_2$ $\frac{m}{s}$</t>
  </si>
  <si>
    <t>$w_1$ $\frac{m}{s}$</t>
  </si>
  <si>
    <t>$w_2$ $\frac{m}{s}$</t>
  </si>
  <si>
    <t>P0ii/P0i</t>
  </si>
  <si>
    <t>Ai [$m^{2}$]</t>
  </si>
  <si>
    <t>Rhub [$m$]</t>
  </si>
  <si>
    <t>Rtip [$m$]</t>
  </si>
  <si>
    <t>Hi [$m$]</t>
  </si>
  <si>
    <t>λR [$^{\circ}]</t>
  </si>
  <si>
    <t>λE [$^{\circ}]</t>
  </si>
  <si>
    <t>sep  [$m$]</t>
  </si>
  <si>
    <t>Letapa [$m$]</t>
  </si>
  <si>
    <t>L_etapa+huelgo [$m$]</t>
  </si>
  <si>
    <t>ci [$m$]</t>
  </si>
  <si>
    <t>ρi[$\frac{kg}{m^{3}$]</t>
  </si>
  <si>
    <t>$\psi$</t>
  </si>
  <si>
    <t>$P_{0i}$ [kPa]</t>
  </si>
  <si>
    <t>$\Delta T_{0i}$ [K]</t>
  </si>
  <si>
    <t>$T_{0i}$ [K]</t>
  </si>
  <si>
    <t>$\frac{P_{0i}}i{P_{0i}}$</t>
  </si>
  <si>
    <t>$T_i$ [K]</t>
  </si>
  <si>
    <t>$P_i$ [kPa]</t>
  </si>
  <si>
    <t xml:space="preserve">h/c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</si>
</sst>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8" formatCode="0.000"/>
  </numFmts>
  <fonts count="21">
    <font>
      <sz val="10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rgb="FF4D5156"/>
      <name val="Arial"/>
      <family val="2"/>
    </font>
    <font>
      <b/>
      <sz val="10"/>
      <name val="Arial"/>
      <family val="2"/>
    </font>
    <font>
      <sz val="10"/>
      <color rgb="FF000000"/>
      <name val="Roboto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vertAlign val="subscript"/>
      <sz val="11"/>
      <color rgb="FF000000"/>
      <name val="Calibri"/>
      <family val="2"/>
    </font>
    <font>
      <vertAlign val="subscript"/>
      <sz val="10"/>
      <name val="Arial"/>
      <family val="2"/>
    </font>
    <font>
      <vertAlign val="subscript"/>
      <sz val="10"/>
      <color rgb="FF000000"/>
      <name val="Roboto"/>
    </font>
    <font>
      <vertAlign val="subscript"/>
      <sz val="10"/>
      <color rgb="FF000000"/>
      <name val="Arial"/>
      <family val="2"/>
    </font>
    <font>
      <vertAlign val="subscript"/>
      <sz val="10"/>
      <color rgb="FFFFFFFF"/>
      <name val="Arial"/>
      <family val="2"/>
    </font>
    <font>
      <vertAlign val="subscript"/>
      <sz val="11"/>
      <color rgb="FF4D5156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rgb="FFFF000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CC0000"/>
      </patternFill>
    </fill>
    <fill>
      <patternFill patternType="solid">
        <fgColor theme="2" tint="-0.14999847407452621"/>
        <bgColor rgb="FFB6D7A8"/>
      </patternFill>
    </fill>
    <fill>
      <patternFill patternType="solid">
        <fgColor theme="5" tint="0.79998168889431442"/>
        <bgColor rgb="FFEA9999"/>
      </patternFill>
    </fill>
    <fill>
      <patternFill patternType="solid">
        <fgColor rgb="FF92D050"/>
        <bgColor rgb="FF03C973"/>
      </patternFill>
    </fill>
    <fill>
      <patternFill patternType="solid">
        <fgColor theme="2"/>
        <bgColor rgb="FFFFE69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rgb="FFFFD966"/>
      </patternFill>
    </fill>
    <fill>
      <patternFill patternType="solid">
        <fgColor theme="4" tint="0.79998168889431442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 applyFont="1" applyAlignment="1"/>
    <xf numFmtId="0" fontId="3" fillId="0" borderId="0" xfId="0" applyFont="1" applyAlignment="1"/>
    <xf numFmtId="0" fontId="4" fillId="0" borderId="3" xfId="0" applyFont="1" applyBorder="1" applyAlignment="1"/>
    <xf numFmtId="0" fontId="4" fillId="0" borderId="4" xfId="0" applyFont="1" applyBorder="1"/>
    <xf numFmtId="0" fontId="4" fillId="3" borderId="4" xfId="0" applyFont="1" applyFill="1" applyBorder="1"/>
    <xf numFmtId="0" fontId="6" fillId="0" borderId="0" xfId="0" applyFont="1" applyAlignment="1"/>
    <xf numFmtId="0" fontId="4" fillId="0" borderId="5" xfId="0" applyFont="1" applyBorder="1" applyAlignment="1"/>
    <xf numFmtId="0" fontId="4" fillId="0" borderId="6" xfId="0" applyFont="1" applyBorder="1"/>
    <xf numFmtId="0" fontId="4" fillId="0" borderId="7" xfId="0" applyFont="1" applyBorder="1" applyAlignment="1"/>
    <xf numFmtId="0" fontId="4" fillId="0" borderId="8" xfId="0" applyFont="1" applyBorder="1"/>
    <xf numFmtId="0" fontId="4" fillId="3" borderId="5" xfId="0" applyFont="1" applyFill="1" applyBorder="1" applyAlignment="1"/>
    <xf numFmtId="0" fontId="4" fillId="3" borderId="6" xfId="0" applyFont="1" applyFill="1" applyBorder="1"/>
    <xf numFmtId="0" fontId="4" fillId="0" borderId="9" xfId="0" applyFont="1" applyBorder="1"/>
    <xf numFmtId="0" fontId="7" fillId="4" borderId="10" xfId="0" applyFont="1" applyFill="1" applyBorder="1" applyAlignment="1"/>
    <xf numFmtId="0" fontId="4" fillId="3" borderId="7" xfId="0" applyFont="1" applyFill="1" applyBorder="1" applyAlignment="1"/>
    <xf numFmtId="0" fontId="4" fillId="3" borderId="8" xfId="0" applyFont="1" applyFill="1" applyBorder="1"/>
    <xf numFmtId="0" fontId="4" fillId="0" borderId="11" xfId="0" applyFont="1" applyBorder="1"/>
    <xf numFmtId="0" fontId="4" fillId="0" borderId="12" xfId="0" applyFont="1" applyBorder="1" applyAlignment="1"/>
    <xf numFmtId="0" fontId="4" fillId="0" borderId="13" xfId="0" applyFont="1" applyBorder="1"/>
    <xf numFmtId="0" fontId="4" fillId="0" borderId="11" xfId="0" applyFont="1" applyBorder="1" applyAlignment="1"/>
    <xf numFmtId="0" fontId="8" fillId="0" borderId="11" xfId="0" applyFont="1" applyBorder="1"/>
    <xf numFmtId="0" fontId="4" fillId="5" borderId="13" xfId="0" applyFont="1" applyFill="1" applyBorder="1"/>
    <xf numFmtId="0" fontId="4" fillId="0" borderId="16" xfId="0" applyFont="1" applyBorder="1"/>
    <xf numFmtId="0" fontId="4" fillId="0" borderId="17" xfId="0" applyFont="1" applyBorder="1"/>
    <xf numFmtId="0" fontId="4" fillId="0" borderId="15" xfId="0" applyFont="1" applyBorder="1" applyAlignment="1"/>
    <xf numFmtId="0" fontId="4" fillId="0" borderId="20" xfId="0" applyFont="1" applyBorder="1" applyAlignment="1"/>
    <xf numFmtId="0" fontId="8" fillId="0" borderId="0" xfId="0" applyFont="1" applyAlignment="1"/>
    <xf numFmtId="0" fontId="4" fillId="0" borderId="21" xfId="0" applyFont="1" applyBorder="1" applyAlignment="1"/>
    <xf numFmtId="0" fontId="4" fillId="6" borderId="5" xfId="0" applyFont="1" applyFill="1" applyBorder="1"/>
    <xf numFmtId="0" fontId="4" fillId="10" borderId="1" xfId="0" applyFont="1" applyFill="1" applyBorder="1"/>
    <xf numFmtId="0" fontId="4" fillId="0" borderId="1" xfId="0" applyFont="1" applyBorder="1"/>
    <xf numFmtId="0" fontId="4" fillId="0" borderId="22" xfId="0" applyFont="1" applyBorder="1"/>
    <xf numFmtId="0" fontId="4" fillId="0" borderId="2" xfId="0" applyFont="1" applyBorder="1"/>
    <xf numFmtId="0" fontId="4" fillId="0" borderId="21" xfId="0" applyFont="1" applyBorder="1"/>
    <xf numFmtId="0" fontId="4" fillId="12" borderId="2" xfId="0" applyFont="1" applyFill="1" applyBorder="1"/>
    <xf numFmtId="0" fontId="4" fillId="0" borderId="27" xfId="0" applyFont="1" applyBorder="1" applyAlignment="1"/>
    <xf numFmtId="0" fontId="4" fillId="8" borderId="28" xfId="0" applyFont="1" applyFill="1" applyBorder="1"/>
    <xf numFmtId="0" fontId="4" fillId="10" borderId="5" xfId="0" applyFont="1" applyFill="1" applyBorder="1"/>
    <xf numFmtId="0" fontId="4" fillId="10" borderId="6" xfId="0" applyFont="1" applyFill="1" applyBorder="1"/>
    <xf numFmtId="0" fontId="4" fillId="11" borderId="5" xfId="0" applyFont="1" applyFill="1" applyBorder="1"/>
    <xf numFmtId="0" fontId="4" fillId="0" borderId="5" xfId="0" applyFont="1" applyBorder="1"/>
    <xf numFmtId="0" fontId="4" fillId="0" borderId="29" xfId="0" applyFont="1" applyBorder="1"/>
    <xf numFmtId="0" fontId="4" fillId="0" borderId="27" xfId="0" applyFont="1" applyBorder="1"/>
    <xf numFmtId="0" fontId="4" fillId="12" borderId="29" xfId="0" applyFont="1" applyFill="1" applyBorder="1"/>
    <xf numFmtId="0" fontId="4" fillId="0" borderId="32" xfId="0" applyFont="1" applyBorder="1" applyAlignment="1"/>
    <xf numFmtId="0" fontId="4" fillId="6" borderId="7" xfId="0" applyFont="1" applyFill="1" applyBorder="1"/>
    <xf numFmtId="0" fontId="4" fillId="8" borderId="33" xfId="0" applyFont="1" applyFill="1" applyBorder="1"/>
    <xf numFmtId="0" fontId="4" fillId="10" borderId="7" xfId="0" applyFont="1" applyFill="1" applyBorder="1"/>
    <xf numFmtId="0" fontId="4" fillId="10" borderId="8" xfId="0" applyFont="1" applyFill="1" applyBorder="1"/>
    <xf numFmtId="0" fontId="4" fillId="11" borderId="7" xfId="0" applyFont="1" applyFill="1" applyBorder="1"/>
    <xf numFmtId="0" fontId="4" fillId="0" borderId="7" xfId="0" applyFont="1" applyBorder="1"/>
    <xf numFmtId="0" fontId="4" fillId="0" borderId="34" xfId="0" applyFont="1" applyBorder="1"/>
    <xf numFmtId="0" fontId="4" fillId="0" borderId="32" xfId="0" applyFont="1" applyBorder="1"/>
    <xf numFmtId="0" fontId="4" fillId="12" borderId="34" xfId="0" applyFont="1" applyFill="1" applyBorder="1"/>
    <xf numFmtId="0" fontId="6" fillId="0" borderId="12" xfId="0" applyFont="1" applyBorder="1" applyAlignment="1"/>
    <xf numFmtId="0" fontId="8" fillId="0" borderId="14" xfId="0" applyFont="1" applyBorder="1"/>
    <xf numFmtId="0" fontId="8" fillId="0" borderId="19" xfId="0" applyFont="1" applyBorder="1"/>
    <xf numFmtId="0" fontId="4" fillId="0" borderId="37" xfId="0" applyFont="1" applyBorder="1" applyAlignment="1"/>
    <xf numFmtId="0" fontId="4" fillId="13" borderId="18" xfId="0" applyFont="1" applyFill="1" applyBorder="1" applyAlignment="1"/>
    <xf numFmtId="0" fontId="4" fillId="13" borderId="20" xfId="0" applyFont="1" applyFill="1" applyBorder="1" applyAlignment="1"/>
    <xf numFmtId="0" fontId="4" fillId="13" borderId="13" xfId="0" applyFont="1" applyFill="1" applyBorder="1" applyAlignment="1"/>
    <xf numFmtId="0" fontId="4" fillId="14" borderId="15" xfId="0" applyFont="1" applyFill="1" applyBorder="1" applyAlignment="1"/>
    <xf numFmtId="0" fontId="4" fillId="14" borderId="20" xfId="0" applyFont="1" applyFill="1" applyBorder="1" applyAlignment="1"/>
    <xf numFmtId="0" fontId="5" fillId="14" borderId="20" xfId="0" applyFont="1" applyFill="1" applyBorder="1" applyAlignment="1">
      <alignment horizontal="left"/>
    </xf>
    <xf numFmtId="0" fontId="4" fillId="14" borderId="13" xfId="0" applyFont="1" applyFill="1" applyBorder="1" applyAlignment="1"/>
    <xf numFmtId="0" fontId="4" fillId="0" borderId="25" xfId="0" applyFont="1" applyBorder="1"/>
    <xf numFmtId="0" fontId="4" fillId="0" borderId="26" xfId="0" applyFont="1" applyBorder="1"/>
    <xf numFmtId="0" fontId="4" fillId="0" borderId="38" xfId="0" applyFont="1" applyBorder="1"/>
    <xf numFmtId="0" fontId="4" fillId="13" borderId="1" xfId="0" applyFont="1" applyFill="1" applyBorder="1"/>
    <xf numFmtId="0" fontId="4" fillId="13" borderId="26" xfId="0" applyFont="1" applyFill="1" applyBorder="1"/>
    <xf numFmtId="0" fontId="4" fillId="13" borderId="22" xfId="0" applyFont="1" applyFill="1" applyBorder="1"/>
    <xf numFmtId="0" fontId="4" fillId="14" borderId="25" xfId="0" applyFont="1" applyFill="1" applyBorder="1"/>
    <xf numFmtId="0" fontId="4" fillId="14" borderId="26" xfId="0" applyFont="1" applyFill="1" applyBorder="1"/>
    <xf numFmtId="0" fontId="4" fillId="14" borderId="22" xfId="0" applyFont="1" applyFill="1" applyBorder="1"/>
    <xf numFmtId="0" fontId="4" fillId="0" borderId="31" xfId="0" applyFont="1" applyBorder="1"/>
    <xf numFmtId="0" fontId="4" fillId="0" borderId="39" xfId="0" applyFont="1" applyBorder="1"/>
    <xf numFmtId="0" fontId="4" fillId="13" borderId="5" xfId="0" applyFont="1" applyFill="1" applyBorder="1"/>
    <xf numFmtId="0" fontId="4" fillId="13" borderId="11" xfId="0" applyFont="1" applyFill="1" applyBorder="1"/>
    <xf numFmtId="0" fontId="4" fillId="13" borderId="6" xfId="0" applyFont="1" applyFill="1" applyBorder="1"/>
    <xf numFmtId="0" fontId="4" fillId="14" borderId="31" xfId="0" applyFont="1" applyFill="1" applyBorder="1"/>
    <xf numFmtId="0" fontId="4" fillId="14" borderId="11" xfId="0" applyFont="1" applyFill="1" applyBorder="1"/>
    <xf numFmtId="0" fontId="4" fillId="14" borderId="6" xfId="0" applyFont="1" applyFill="1" applyBorder="1"/>
    <xf numFmtId="0" fontId="4" fillId="0" borderId="36" xfId="0" applyFont="1" applyBorder="1"/>
    <xf numFmtId="0" fontId="4" fillId="0" borderId="40" xfId="0" applyFont="1" applyBorder="1"/>
    <xf numFmtId="0" fontId="4" fillId="13" borderId="7" xfId="0" applyFont="1" applyFill="1" applyBorder="1"/>
    <xf numFmtId="0" fontId="4" fillId="13" borderId="16" xfId="0" applyFont="1" applyFill="1" applyBorder="1"/>
    <xf numFmtId="0" fontId="4" fillId="13" borderId="8" xfId="0" applyFont="1" applyFill="1" applyBorder="1"/>
    <xf numFmtId="0" fontId="4" fillId="14" borderId="36" xfId="0" applyFont="1" applyFill="1" applyBorder="1"/>
    <xf numFmtId="0" fontId="4" fillId="14" borderId="16" xfId="0" applyFont="1" applyFill="1" applyBorder="1"/>
    <xf numFmtId="0" fontId="4" fillId="14" borderId="8" xfId="0" applyFont="1" applyFill="1" applyBorder="1"/>
    <xf numFmtId="0" fontId="4" fillId="15" borderId="39" xfId="0" applyFont="1" applyFill="1" applyBorder="1"/>
    <xf numFmtId="0" fontId="0" fillId="0" borderId="45" xfId="0" applyFont="1" applyBorder="1" applyAlignment="1"/>
    <xf numFmtId="0" fontId="0" fillId="0" borderId="46" xfId="0" applyFont="1" applyBorder="1" applyAlignment="1"/>
    <xf numFmtId="0" fontId="0" fillId="0" borderId="47" xfId="0" applyFont="1" applyBorder="1" applyAlignment="1"/>
    <xf numFmtId="0" fontId="4" fillId="15" borderId="50" xfId="0" applyFont="1" applyFill="1" applyBorder="1"/>
    <xf numFmtId="0" fontId="4" fillId="15" borderId="51" xfId="0" applyFont="1" applyFill="1" applyBorder="1"/>
    <xf numFmtId="0" fontId="4" fillId="16" borderId="44" xfId="0" applyFont="1" applyFill="1" applyBorder="1" applyAlignment="1"/>
    <xf numFmtId="0" fontId="4" fillId="15" borderId="52" xfId="0" applyFont="1" applyFill="1" applyBorder="1"/>
    <xf numFmtId="0" fontId="4" fillId="16" borderId="53" xfId="0" applyFont="1" applyFill="1" applyBorder="1" applyAlignment="1"/>
    <xf numFmtId="0" fontId="4" fillId="15" borderId="54" xfId="0" applyFont="1" applyFill="1" applyBorder="1"/>
    <xf numFmtId="0" fontId="4" fillId="15" borderId="55" xfId="0" applyFont="1" applyFill="1" applyBorder="1"/>
    <xf numFmtId="0" fontId="4" fillId="16" borderId="56" xfId="0" applyFont="1" applyFill="1" applyBorder="1" applyAlignment="1"/>
    <xf numFmtId="0" fontId="7" fillId="6" borderId="18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0" xfId="0" applyFont="1" applyAlignment="1"/>
    <xf numFmtId="0" fontId="9" fillId="17" borderId="17" xfId="0" applyFont="1" applyFill="1" applyBorder="1" applyAlignment="1">
      <alignment horizontal="center"/>
    </xf>
    <xf numFmtId="0" fontId="9" fillId="17" borderId="21" xfId="0" applyFont="1" applyFill="1" applyBorder="1"/>
    <xf numFmtId="0" fontId="4" fillId="17" borderId="5" xfId="0" applyFont="1" applyFill="1" applyBorder="1"/>
    <xf numFmtId="0" fontId="4" fillId="17" borderId="7" xfId="0" applyFont="1" applyFill="1" applyBorder="1"/>
    <xf numFmtId="0" fontId="4" fillId="0" borderId="57" xfId="0" applyFont="1" applyBorder="1"/>
    <xf numFmtId="0" fontId="0" fillId="16" borderId="43" xfId="0" applyFont="1" applyFill="1" applyBorder="1" applyAlignment="1"/>
    <xf numFmtId="0" fontId="10" fillId="16" borderId="58" xfId="0" applyFont="1" applyFill="1" applyBorder="1" applyAlignment="1"/>
    <xf numFmtId="0" fontId="0" fillId="16" borderId="41" xfId="0" applyFont="1" applyFill="1" applyBorder="1" applyAlignment="1"/>
    <xf numFmtId="0" fontId="4" fillId="18" borderId="30" xfId="0" applyFont="1" applyFill="1" applyBorder="1"/>
    <xf numFmtId="0" fontId="4" fillId="18" borderId="35" xfId="0" applyFont="1" applyFill="1" applyBorder="1"/>
    <xf numFmtId="0" fontId="4" fillId="19" borderId="25" xfId="0" applyFont="1" applyFill="1" applyBorder="1"/>
    <xf numFmtId="0" fontId="4" fillId="19" borderId="38" xfId="0" applyFont="1" applyFill="1" applyBorder="1"/>
    <xf numFmtId="0" fontId="4" fillId="19" borderId="31" xfId="0" applyFont="1" applyFill="1" applyBorder="1"/>
    <xf numFmtId="0" fontId="4" fillId="19" borderId="39" xfId="0" applyFont="1" applyFill="1" applyBorder="1"/>
    <xf numFmtId="0" fontId="4" fillId="19" borderId="36" xfId="0" applyFont="1" applyFill="1" applyBorder="1"/>
    <xf numFmtId="0" fontId="4" fillId="19" borderId="40" xfId="0" applyFont="1" applyFill="1" applyBorder="1"/>
    <xf numFmtId="0" fontId="4" fillId="20" borderId="11" xfId="0" applyFont="1" applyFill="1" applyBorder="1" applyAlignment="1"/>
    <xf numFmtId="0" fontId="4" fillId="20" borderId="11" xfId="0" applyFont="1" applyFill="1" applyBorder="1"/>
    <xf numFmtId="0" fontId="2" fillId="21" borderId="0" xfId="0" applyFont="1" applyFill="1" applyBorder="1" applyAlignment="1"/>
    <xf numFmtId="0" fontId="2" fillId="2" borderId="50" xfId="0" applyFont="1" applyFill="1" applyBorder="1" applyAlignment="1"/>
    <xf numFmtId="0" fontId="2" fillId="2" borderId="59" xfId="0" applyFont="1" applyFill="1" applyBorder="1" applyAlignment="1"/>
    <xf numFmtId="0" fontId="2" fillId="2" borderId="60" xfId="0" applyFont="1" applyFill="1" applyBorder="1" applyAlignment="1"/>
    <xf numFmtId="0" fontId="2" fillId="2" borderId="61" xfId="0" applyFont="1" applyFill="1" applyBorder="1" applyAlignment="1"/>
    <xf numFmtId="2" fontId="2" fillId="2" borderId="61" xfId="0" applyNumberFormat="1" applyFont="1" applyFill="1" applyBorder="1" applyAlignment="1">
      <alignment horizontal="right"/>
    </xf>
    <xf numFmtId="164" fontId="2" fillId="2" borderId="61" xfId="0" applyNumberFormat="1" applyFont="1" applyFill="1" applyBorder="1" applyAlignment="1">
      <alignment horizontal="right"/>
    </xf>
    <xf numFmtId="0" fontId="2" fillId="2" borderId="62" xfId="0" applyFont="1" applyFill="1" applyBorder="1" applyAlignment="1"/>
    <xf numFmtId="0" fontId="2" fillId="2" borderId="63" xfId="0" applyFont="1" applyFill="1" applyBorder="1" applyAlignment="1"/>
    <xf numFmtId="0" fontId="7" fillId="6" borderId="37" xfId="0" applyFont="1" applyFill="1" applyBorder="1" applyAlignment="1">
      <alignment horizontal="center"/>
    </xf>
    <xf numFmtId="0" fontId="4" fillId="6" borderId="39" xfId="0" applyFont="1" applyFill="1" applyBorder="1"/>
    <xf numFmtId="0" fontId="4" fillId="6" borderId="40" xfId="0" applyFont="1" applyFill="1" applyBorder="1"/>
    <xf numFmtId="0" fontId="4" fillId="7" borderId="64" xfId="0" applyFont="1" applyFill="1" applyBorder="1" applyAlignment="1">
      <alignment horizontal="center"/>
    </xf>
    <xf numFmtId="0" fontId="4" fillId="7" borderId="65" xfId="0" applyFont="1" applyFill="1" applyBorder="1" applyAlignment="1">
      <alignment horizontal="center"/>
    </xf>
    <xf numFmtId="0" fontId="4" fillId="7" borderId="60" xfId="0" applyFont="1" applyFill="1" applyBorder="1"/>
    <xf numFmtId="0" fontId="4" fillId="7" borderId="66" xfId="0" applyFont="1" applyFill="1" applyBorder="1"/>
    <xf numFmtId="0" fontId="4" fillId="7" borderId="52" xfId="0" applyFont="1" applyFill="1" applyBorder="1"/>
    <xf numFmtId="0" fontId="4" fillId="7" borderId="67" xfId="0" applyFont="1" applyFill="1" applyBorder="1"/>
    <xf numFmtId="0" fontId="4" fillId="7" borderId="54" xfId="0" applyFont="1" applyFill="1" applyBorder="1"/>
    <xf numFmtId="0" fontId="4" fillId="7" borderId="68" xfId="0" applyFont="1" applyFill="1" applyBorder="1"/>
    <xf numFmtId="0" fontId="1" fillId="0" borderId="0" xfId="0" applyFont="1" applyBorder="1" applyAlignment="1"/>
    <xf numFmtId="0" fontId="2" fillId="0" borderId="0" xfId="0" applyFont="1" applyBorder="1" applyAlignment="1"/>
    <xf numFmtId="0" fontId="17" fillId="2" borderId="50" xfId="0" applyFont="1" applyFill="1" applyBorder="1" applyAlignment="1"/>
    <xf numFmtId="0" fontId="0" fillId="22" borderId="70" xfId="0" applyFont="1" applyFill="1" applyBorder="1" applyAlignment="1"/>
    <xf numFmtId="0" fontId="2" fillId="2" borderId="71" xfId="0" applyFont="1" applyFill="1" applyBorder="1" applyAlignment="1"/>
    <xf numFmtId="0" fontId="2" fillId="2" borderId="72" xfId="0" applyFont="1" applyFill="1" applyBorder="1" applyAlignment="1"/>
    <xf numFmtId="0" fontId="10" fillId="22" borderId="69" xfId="0" applyFont="1" applyFill="1" applyBorder="1" applyAlignment="1"/>
    <xf numFmtId="0" fontId="10" fillId="0" borderId="0" xfId="0" applyFont="1" applyFill="1" applyBorder="1" applyAlignment="1"/>
    <xf numFmtId="0" fontId="4" fillId="3" borderId="3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19" fillId="0" borderId="0" xfId="0" applyFont="1" applyAlignment="1"/>
    <xf numFmtId="0" fontId="4" fillId="0" borderId="14" xfId="0" applyFont="1" applyBorder="1" applyAlignment="1">
      <alignment horizontal="center"/>
    </xf>
    <xf numFmtId="0" fontId="4" fillId="11" borderId="39" xfId="0" applyFont="1" applyFill="1" applyBorder="1"/>
    <xf numFmtId="0" fontId="4" fillId="11" borderId="40" xfId="0" applyFont="1" applyFill="1" applyBorder="1"/>
    <xf numFmtId="0" fontId="10" fillId="9" borderId="19" xfId="0" applyFont="1" applyFill="1" applyBorder="1" applyAlignment="1">
      <alignment horizontal="center"/>
    </xf>
    <xf numFmtId="0" fontId="4" fillId="9" borderId="29" xfId="0" applyFont="1" applyFill="1" applyBorder="1"/>
    <xf numFmtId="0" fontId="4" fillId="9" borderId="34" xfId="0" applyFont="1" applyFill="1" applyBorder="1"/>
    <xf numFmtId="0" fontId="4" fillId="0" borderId="73" xfId="0" applyFont="1" applyBorder="1" applyAlignment="1">
      <alignment horizontal="center"/>
    </xf>
    <xf numFmtId="0" fontId="19" fillId="0" borderId="46" xfId="0" applyFont="1" applyBorder="1" applyAlignment="1"/>
    <xf numFmtId="0" fontId="19" fillId="0" borderId="45" xfId="0" applyFont="1" applyBorder="1" applyAlignment="1"/>
    <xf numFmtId="0" fontId="19" fillId="0" borderId="47" xfId="0" applyFont="1" applyBorder="1" applyAlignment="1"/>
    <xf numFmtId="11" fontId="0" fillId="0" borderId="0" xfId="0" applyNumberFormat="1" applyFont="1" applyAlignment="1"/>
    <xf numFmtId="11" fontId="4" fillId="8" borderId="23" xfId="0" applyNumberFormat="1" applyFont="1" applyFill="1" applyBorder="1"/>
    <xf numFmtId="11" fontId="4" fillId="18" borderId="24" xfId="0" applyNumberFormat="1" applyFont="1" applyFill="1" applyBorder="1"/>
    <xf numFmtId="0" fontId="4" fillId="23" borderId="4" xfId="0" applyFont="1" applyFill="1" applyBorder="1"/>
    <xf numFmtId="0" fontId="4" fillId="0" borderId="74" xfId="0" applyFont="1" applyBorder="1" applyAlignment="1">
      <alignment horizontal="center"/>
    </xf>
    <xf numFmtId="0" fontId="4" fillId="0" borderId="75" xfId="0" applyFont="1" applyBorder="1"/>
    <xf numFmtId="0" fontId="4" fillId="0" borderId="76" xfId="0" applyFont="1" applyBorder="1"/>
    <xf numFmtId="11" fontId="4" fillId="17" borderId="1" xfId="0" applyNumberFormat="1" applyFont="1" applyFill="1" applyBorder="1"/>
    <xf numFmtId="11" fontId="4" fillId="0" borderId="22" xfId="0" applyNumberFormat="1" applyFont="1" applyBorder="1"/>
    <xf numFmtId="0" fontId="4" fillId="18" borderId="24" xfId="0" applyNumberFormat="1" applyFont="1" applyFill="1" applyBorder="1"/>
    <xf numFmtId="11" fontId="4" fillId="19" borderId="31" xfId="0" applyNumberFormat="1" applyFont="1" applyFill="1" applyBorder="1"/>
    <xf numFmtId="11" fontId="4" fillId="12" borderId="29" xfId="0" applyNumberFormat="1" applyFont="1" applyFill="1" applyBorder="1"/>
    <xf numFmtId="0" fontId="4" fillId="0" borderId="45" xfId="0" applyFont="1" applyFill="1" applyBorder="1" applyAlignment="1"/>
    <xf numFmtId="0" fontId="0" fillId="0" borderId="77" xfId="0" applyFont="1" applyBorder="1" applyAlignment="1"/>
    <xf numFmtId="0" fontId="10" fillId="0" borderId="77" xfId="0" applyFont="1" applyBorder="1" applyAlignment="1"/>
    <xf numFmtId="11" fontId="4" fillId="19" borderId="25" xfId="0" applyNumberFormat="1" applyFont="1" applyFill="1" applyBorder="1"/>
    <xf numFmtId="2" fontId="10" fillId="0" borderId="0" xfId="0" applyNumberFormat="1" applyFont="1" applyAlignment="1"/>
    <xf numFmtId="2" fontId="0" fillId="0" borderId="0" xfId="0" applyNumberFormat="1" applyFont="1" applyAlignment="1"/>
    <xf numFmtId="2" fontId="8" fillId="0" borderId="0" xfId="0" applyNumberFormat="1" applyFont="1" applyAlignment="1"/>
    <xf numFmtId="2" fontId="20" fillId="0" borderId="0" xfId="0" applyNumberFormat="1" applyFont="1" applyAlignment="1"/>
    <xf numFmtId="0" fontId="8" fillId="5" borderId="12" xfId="0" applyFont="1" applyFill="1" applyBorder="1" applyAlignment="1"/>
    <xf numFmtId="0" fontId="8" fillId="5" borderId="14" xfId="0" applyFont="1" applyFill="1" applyBorder="1" applyAlignment="1"/>
    <xf numFmtId="0" fontId="8" fillId="5" borderId="15" xfId="0" applyFont="1" applyFill="1" applyBorder="1" applyAlignment="1"/>
    <xf numFmtId="2" fontId="20" fillId="24" borderId="77" xfId="0" applyNumberFormat="1" applyFont="1" applyFill="1" applyBorder="1" applyAlignment="1"/>
    <xf numFmtId="2" fontId="0" fillId="0" borderId="77" xfId="0" applyNumberFormat="1" applyFont="1" applyBorder="1" applyAlignment="1"/>
    <xf numFmtId="1" fontId="0" fillId="0" borderId="0" xfId="0" applyNumberFormat="1" applyFont="1" applyAlignment="1"/>
    <xf numFmtId="168" fontId="0" fillId="0" borderId="0" xfId="0" applyNumberFormat="1" applyFont="1" applyAlignment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Perfil meridional del compresor</a:t>
            </a:r>
            <a:r>
              <a:rPr lang="es-AR" baseline="0"/>
              <a:t> axial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537367830411102"/>
          <c:y val="0.16651091943649163"/>
          <c:w val="0.66679211217895573"/>
          <c:h val="0.63755046954793593"/>
        </c:manualLayout>
      </c:layout>
      <c:scatterChart>
        <c:scatterStyle val="lineMarker"/>
        <c:varyColors val="0"/>
        <c:ser>
          <c:idx val="0"/>
          <c:order val="0"/>
          <c:tx>
            <c:v>r_hub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'Analisis sensibilidad'!$V$28:$V$34</c:f>
              <c:numCache>
                <c:formatCode>General</c:formatCode>
                <c:ptCount val="7"/>
                <c:pt idx="0">
                  <c:v>7.3839649593292089E-2</c:v>
                </c:pt>
                <c:pt idx="1">
                  <c:v>0.2092123405143276</c:v>
                </c:pt>
                <c:pt idx="2">
                  <c:v>0.33022762098920677</c:v>
                </c:pt>
                <c:pt idx="3">
                  <c:v>0.44196971175376198</c:v>
                </c:pt>
                <c:pt idx="4">
                  <c:v>0.54921793811300057</c:v>
                </c:pt>
                <c:pt idx="5">
                  <c:v>0.65619667443983354</c:v>
                </c:pt>
                <c:pt idx="6">
                  <c:v>0.76701778156401756</c:v>
                </c:pt>
              </c:numCache>
            </c:numRef>
          </c:xVal>
          <c:yVal>
            <c:numRef>
              <c:f>'Analisis sensibilidad'!$E$27:$E$32</c:f>
              <c:numCache>
                <c:formatCode>General</c:formatCode>
                <c:ptCount val="6"/>
                <c:pt idx="0">
                  <c:v>0.18459912398323025</c:v>
                </c:pt>
                <c:pt idx="1">
                  <c:v>0.20801289689878477</c:v>
                </c:pt>
                <c:pt idx="2">
                  <c:v>0.2244918131237679</c:v>
                </c:pt>
                <c:pt idx="3">
                  <c:v>0.23616681863654443</c:v>
                </c:pt>
                <c:pt idx="4">
                  <c:v>0.24481317304173436</c:v>
                </c:pt>
                <c:pt idx="5">
                  <c:v>0.25164151527463641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E-4650-AD73-4681E5C521DF}"/>
            </c:ext>
          </c:extLst>
        </c:ser>
        <c:ser>
          <c:idx val="1"/>
          <c:order val="1"/>
          <c:tx>
            <c:v>r_tip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'Analisis sensibilidad'!$V$28:$V$34</c:f>
              <c:numCache>
                <c:formatCode>General</c:formatCode>
                <c:ptCount val="7"/>
                <c:pt idx="0">
                  <c:v>7.3839649593292089E-2</c:v>
                </c:pt>
                <c:pt idx="1">
                  <c:v>0.2092123405143276</c:v>
                </c:pt>
                <c:pt idx="2">
                  <c:v>0.33022762098920677</c:v>
                </c:pt>
                <c:pt idx="3">
                  <c:v>0.44196971175376198</c:v>
                </c:pt>
                <c:pt idx="4">
                  <c:v>0.54921793811300057</c:v>
                </c:pt>
                <c:pt idx="5">
                  <c:v>0.65619667443983354</c:v>
                </c:pt>
                <c:pt idx="6">
                  <c:v>0.76701778156401756</c:v>
                </c:pt>
              </c:numCache>
            </c:numRef>
          </c:xVal>
          <c:yVal>
            <c:numRef>
              <c:f>'Analisis sensibilidad'!$F$27:$F$32</c:f>
              <c:numCache>
                <c:formatCode>General</c:formatCode>
                <c:ptCount val="6"/>
                <c:pt idx="0">
                  <c:v>0.3691982479664605</c:v>
                </c:pt>
                <c:pt idx="1">
                  <c:v>0.35653165020886379</c:v>
                </c:pt>
                <c:pt idx="2">
                  <c:v>0.34639227577600995</c:v>
                </c:pt>
                <c:pt idx="3">
                  <c:v>0.33854012561581764</c:v>
                </c:pt>
                <c:pt idx="4">
                  <c:v>0.33234123003641586</c:v>
                </c:pt>
                <c:pt idx="5">
                  <c:v>0.32720136104112552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E-4650-AD73-4681E5C521DF}"/>
            </c:ext>
          </c:extLst>
        </c:ser>
        <c:ser>
          <c:idx val="2"/>
          <c:order val="2"/>
          <c:tx>
            <c:v>r_m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'Analisis sensibilidad'!$V$28:$V$34</c:f>
              <c:numCache>
                <c:formatCode>General</c:formatCode>
                <c:ptCount val="7"/>
                <c:pt idx="0">
                  <c:v>7.3839649593292089E-2</c:v>
                </c:pt>
                <c:pt idx="1">
                  <c:v>0.2092123405143276</c:v>
                </c:pt>
                <c:pt idx="2">
                  <c:v>0.33022762098920677</c:v>
                </c:pt>
                <c:pt idx="3">
                  <c:v>0.44196971175376198</c:v>
                </c:pt>
                <c:pt idx="4">
                  <c:v>0.54921793811300057</c:v>
                </c:pt>
                <c:pt idx="5">
                  <c:v>0.65619667443983354</c:v>
                </c:pt>
                <c:pt idx="6">
                  <c:v>0.76701778156401756</c:v>
                </c:pt>
              </c:numCache>
            </c:numRef>
          </c:xVal>
          <c:yVal>
            <c:numRef>
              <c:f>'Analisis sensibilidad'!$X$28:$X$34</c:f>
              <c:numCache>
                <c:formatCode>General</c:formatCode>
                <c:ptCount val="7"/>
                <c:pt idx="0">
                  <c:v>0.29187684292941096</c:v>
                </c:pt>
                <c:pt idx="1">
                  <c:v>0.29187684292941096</c:v>
                </c:pt>
                <c:pt idx="2">
                  <c:v>0.29187684292941096</c:v>
                </c:pt>
                <c:pt idx="3">
                  <c:v>0.29187684292941096</c:v>
                </c:pt>
                <c:pt idx="4">
                  <c:v>0.29187684292941096</c:v>
                </c:pt>
                <c:pt idx="5">
                  <c:v>0.29187684292941096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E-4650-AD73-4681E5C52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818144"/>
        <c:axId val="1118246032"/>
      </c:scatterChart>
      <c:valAx>
        <c:axId val="136081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Posición</a:t>
                </a:r>
                <a:r>
                  <a:rPr lang="es-AR" baseline="0"/>
                  <a:t> axial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8246032"/>
        <c:crosses val="autoZero"/>
        <c:crossBetween val="midCat"/>
      </c:valAx>
      <c:valAx>
        <c:axId val="11182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Radios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081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Perfil meridional del compresor</a:t>
            </a:r>
            <a:r>
              <a:rPr lang="es-AR" baseline="0"/>
              <a:t> axial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537367830411102"/>
          <c:y val="0.16651091943649163"/>
          <c:w val="0.66679211217895573"/>
          <c:h val="0.63755046954793593"/>
        </c:manualLayout>
      </c:layout>
      <c:scatterChart>
        <c:scatterStyle val="lineMarker"/>
        <c:varyColors val="0"/>
        <c:ser>
          <c:idx val="0"/>
          <c:order val="0"/>
          <c:tx>
            <c:v>r_hub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Diseño!$V$28:$V$34</c:f>
              <c:numCache>
                <c:formatCode>General</c:formatCode>
                <c:ptCount val="7"/>
                <c:pt idx="0">
                  <c:v>7.0050442303058624E-2</c:v>
                </c:pt>
                <c:pt idx="1">
                  <c:v>0.19847625319199946</c:v>
                </c:pt>
                <c:pt idx="2">
                  <c:v>0.32197902790065791</c:v>
                </c:pt>
                <c:pt idx="3">
                  <c:v>0.43936688340373214</c:v>
                </c:pt>
                <c:pt idx="4">
                  <c:v>0.55476340361427123</c:v>
                </c:pt>
                <c:pt idx="5">
                  <c:v>0.6722265676999245</c:v>
                </c:pt>
                <c:pt idx="6">
                  <c:v>0.79589745294949032</c:v>
                </c:pt>
              </c:numCache>
            </c:numRef>
          </c:xVal>
          <c:yVal>
            <c:numRef>
              <c:f>Diseño!$E$27:$E$32</c:f>
              <c:numCache>
                <c:formatCode>General</c:formatCode>
                <c:ptCount val="6"/>
                <c:pt idx="0">
                  <c:v>0.17512610575764659</c:v>
                </c:pt>
                <c:pt idx="1">
                  <c:v>0.19053993892073232</c:v>
                </c:pt>
                <c:pt idx="2">
                  <c:v>0.20536416325946058</c:v>
                </c:pt>
                <c:pt idx="3">
                  <c:v>0.21629048630729197</c:v>
                </c:pt>
                <c:pt idx="4">
                  <c:v>0.22464412001624884</c:v>
                </c:pt>
                <c:pt idx="5">
                  <c:v>0.23150965945619786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5-4F98-898D-0FC4DD275BEB}"/>
            </c:ext>
          </c:extLst>
        </c:ser>
        <c:ser>
          <c:idx val="1"/>
          <c:order val="1"/>
          <c:tx>
            <c:v>r_tip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Diseño!$V$28:$V$34</c:f>
              <c:numCache>
                <c:formatCode>General</c:formatCode>
                <c:ptCount val="7"/>
                <c:pt idx="0">
                  <c:v>7.0050442303058624E-2</c:v>
                </c:pt>
                <c:pt idx="1">
                  <c:v>0.19847625319199946</c:v>
                </c:pt>
                <c:pt idx="2">
                  <c:v>0.32197902790065791</c:v>
                </c:pt>
                <c:pt idx="3">
                  <c:v>0.43936688340373214</c:v>
                </c:pt>
                <c:pt idx="4">
                  <c:v>0.55476340361427123</c:v>
                </c:pt>
                <c:pt idx="5">
                  <c:v>0.6722265676999245</c:v>
                </c:pt>
                <c:pt idx="6">
                  <c:v>0.79589745294949032</c:v>
                </c:pt>
              </c:numCache>
            </c:numRef>
          </c:xVal>
          <c:yVal>
            <c:numRef>
              <c:f>Diseño!$F$27:$F$32</c:f>
              <c:numCache>
                <c:formatCode>General</c:formatCode>
                <c:ptCount val="6"/>
                <c:pt idx="0">
                  <c:v>0.35025221151529318</c:v>
                </c:pt>
                <c:pt idx="1">
                  <c:v>0.3421115260631768</c:v>
                </c:pt>
                <c:pt idx="2">
                  <c:v>0.33342364199008701</c:v>
                </c:pt>
                <c:pt idx="3">
                  <c:v>0.32644171014462481</c:v>
                </c:pt>
                <c:pt idx="4">
                  <c:v>0.32075034517723794</c:v>
                </c:pt>
                <c:pt idx="5">
                  <c:v>0.31583071758090187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15-4F98-898D-0FC4DD275BEB}"/>
            </c:ext>
          </c:extLst>
        </c:ser>
        <c:ser>
          <c:idx val="2"/>
          <c:order val="2"/>
          <c:tx>
            <c:v>r_m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Diseño!$V$28:$V$34</c:f>
              <c:numCache>
                <c:formatCode>General</c:formatCode>
                <c:ptCount val="7"/>
                <c:pt idx="0">
                  <c:v>7.0050442303058624E-2</c:v>
                </c:pt>
                <c:pt idx="1">
                  <c:v>0.19847625319199946</c:v>
                </c:pt>
                <c:pt idx="2">
                  <c:v>0.32197902790065791</c:v>
                </c:pt>
                <c:pt idx="3">
                  <c:v>0.43936688340373214</c:v>
                </c:pt>
                <c:pt idx="4">
                  <c:v>0.55476340361427123</c:v>
                </c:pt>
                <c:pt idx="5">
                  <c:v>0.6722265676999245</c:v>
                </c:pt>
                <c:pt idx="6">
                  <c:v>0.79589745294949032</c:v>
                </c:pt>
              </c:numCache>
            </c:numRef>
          </c:xVal>
          <c:yVal>
            <c:numRef>
              <c:f>Diseño!$X$28:$X$34</c:f>
              <c:numCache>
                <c:formatCode>General</c:formatCode>
                <c:ptCount val="7"/>
                <c:pt idx="0">
                  <c:v>0.2768986859748454</c:v>
                </c:pt>
                <c:pt idx="1">
                  <c:v>0.2768986859748454</c:v>
                </c:pt>
                <c:pt idx="2">
                  <c:v>0.2768986859748454</c:v>
                </c:pt>
                <c:pt idx="3">
                  <c:v>0.2768986859748454</c:v>
                </c:pt>
                <c:pt idx="4">
                  <c:v>0.2768986859748454</c:v>
                </c:pt>
                <c:pt idx="5">
                  <c:v>0.2768986859748454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15-4F98-898D-0FC4DD27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818144"/>
        <c:axId val="1118246032"/>
      </c:scatterChart>
      <c:valAx>
        <c:axId val="136081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Posición</a:t>
                </a:r>
                <a:r>
                  <a:rPr lang="es-AR" baseline="0"/>
                  <a:t> axial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8246032"/>
        <c:crosses val="autoZero"/>
        <c:crossBetween val="midCat"/>
      </c:valAx>
      <c:valAx>
        <c:axId val="11182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Radios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6081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76146</xdr:colOff>
      <xdr:row>23</xdr:row>
      <xdr:rowOff>68008</xdr:rowOff>
    </xdr:from>
    <xdr:to>
      <xdr:col>30</xdr:col>
      <xdr:colOff>947563</xdr:colOff>
      <xdr:row>38</xdr:row>
      <xdr:rowOff>146930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78332-F13A-4205-8256-32C56D76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233402</xdr:colOff>
      <xdr:row>37</xdr:row>
      <xdr:rowOff>103175</xdr:rowOff>
    </xdr:from>
    <xdr:to>
      <xdr:col>19</xdr:col>
      <xdr:colOff>816969</xdr:colOff>
      <xdr:row>61</xdr:row>
      <xdr:rowOff>130188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B5065B-2C23-46CC-B90E-EDEAF9C2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1602" y="6989750"/>
          <a:ext cx="7682867" cy="4824438"/>
        </a:xfrm>
        <a:prstGeom prst="rect">
          <a:avLst/>
        </a:prstGeom>
      </xdr:spPr>
    </xdr:pic>
    <xdr:clientData/>
  </xdr:twoCellAnchor>
  <xdr:twoCellAnchor>
    <xdr:from>
      <xdr:col>9</xdr:col>
      <xdr:colOff>23668</xdr:colOff>
      <xdr:row>49</xdr:row>
      <xdr:rowOff>42884</xdr:rowOff>
    </xdr:from>
    <xdr:to>
      <xdr:col>19</xdr:col>
      <xdr:colOff>172934</xdr:colOff>
      <xdr:row>49</xdr:row>
      <xdr:rowOff>88241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919959-32A7-441A-8DB5-8AC8E62ACE55}"/>
            </a:ext>
          </a:extLst>
        </xdr:cNvPr>
        <xdr:cNvCxnSpPr/>
      </xdr:nvCxnSpPr>
      <xdr:spPr>
        <a:xfrm>
          <a:off x="5529118" y="9329759"/>
          <a:ext cx="6397666" cy="4535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49</xdr:row>
      <xdr:rowOff>54428</xdr:rowOff>
    </xdr:from>
    <xdr:to>
      <xdr:col>4</xdr:col>
      <xdr:colOff>344714</xdr:colOff>
      <xdr:row>49</xdr:row>
      <xdr:rowOff>54428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990153C-FA5D-401F-9515-A2D65750960D}"/>
            </a:ext>
          </a:extLst>
        </xdr:cNvPr>
        <xdr:cNvCxnSpPr/>
      </xdr:nvCxnSpPr>
      <xdr:spPr>
        <a:xfrm>
          <a:off x="2337707" y="9341303"/>
          <a:ext cx="453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149143</xdr:colOff>
      <xdr:row>38</xdr:row>
      <xdr:rowOff>141720</xdr:rowOff>
    </xdr:from>
    <xdr:to>
      <xdr:col>16</xdr:col>
      <xdr:colOff>212643</xdr:colOff>
      <xdr:row>60</xdr:row>
      <xdr:rowOff>42759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E9C6EEF-1605-4C45-9C28-F64459893321}"/>
            </a:ext>
          </a:extLst>
        </xdr:cNvPr>
        <xdr:cNvCxnSpPr/>
      </xdr:nvCxnSpPr>
      <xdr:spPr>
        <a:xfrm>
          <a:off x="10121818" y="7228320"/>
          <a:ext cx="63500" cy="4301589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90713</xdr:colOff>
      <xdr:row>63</xdr:row>
      <xdr:rowOff>48532</xdr:rowOff>
    </xdr:from>
    <xdr:to>
      <xdr:col>19</xdr:col>
      <xdr:colOff>547888</xdr:colOff>
      <xdr:row>86</xdr:row>
      <xdr:rowOff>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500667-E059-4565-8C96-37FB74D2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96163" y="12135757"/>
          <a:ext cx="6705575" cy="4552458"/>
        </a:xfrm>
        <a:prstGeom prst="rect">
          <a:avLst/>
        </a:prstGeom>
      </xdr:spPr>
    </xdr:pic>
    <xdr:clientData/>
  </xdr:twoCellAnchor>
  <xdr:twoCellAnchor>
    <xdr:from>
      <xdr:col>12</xdr:col>
      <xdr:colOff>384175</xdr:colOff>
      <xdr:row>37</xdr:row>
      <xdr:rowOff>145142</xdr:rowOff>
    </xdr:from>
    <xdr:to>
      <xdr:col>12</xdr:col>
      <xdr:colOff>441325</xdr:colOff>
      <xdr:row>59</xdr:row>
      <xdr:rowOff>57603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EB079C4-5C9D-46D9-BE29-854B8FE2B56E}"/>
            </a:ext>
          </a:extLst>
        </xdr:cNvPr>
        <xdr:cNvCxnSpPr/>
      </xdr:nvCxnSpPr>
      <xdr:spPr>
        <a:xfrm>
          <a:off x="7556500" y="7031717"/>
          <a:ext cx="57150" cy="431301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316940</xdr:colOff>
      <xdr:row>75</xdr:row>
      <xdr:rowOff>92822</xdr:rowOff>
    </xdr:from>
    <xdr:to>
      <xdr:col>19</xdr:col>
      <xdr:colOff>433294</xdr:colOff>
      <xdr:row>75</xdr:row>
      <xdr:rowOff>134470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53AEEFD-D768-4C8F-9C04-51C82A2E891A}"/>
            </a:ext>
          </a:extLst>
        </xdr:cNvPr>
        <xdr:cNvCxnSpPr/>
      </xdr:nvCxnSpPr>
      <xdr:spPr>
        <a:xfrm>
          <a:off x="6222440" y="14580347"/>
          <a:ext cx="5964704" cy="4164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116728</xdr:colOff>
      <xdr:row>62</xdr:row>
      <xdr:rowOff>14941</xdr:rowOff>
    </xdr:from>
    <xdr:to>
      <xdr:col>13</xdr:col>
      <xdr:colOff>119529</xdr:colOff>
      <xdr:row>83</xdr:row>
      <xdr:rowOff>163578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5CB79D9-7D0E-4E5F-9174-B28F638B4268}"/>
            </a:ext>
          </a:extLst>
        </xdr:cNvPr>
        <xdr:cNvCxnSpPr/>
      </xdr:nvCxnSpPr>
      <xdr:spPr>
        <a:xfrm flipH="1">
          <a:off x="7879603" y="11902141"/>
          <a:ext cx="2801" cy="434916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418540</xdr:colOff>
      <xdr:row>62</xdr:row>
      <xdr:rowOff>40341</xdr:rowOff>
    </xdr:from>
    <xdr:to>
      <xdr:col>17</xdr:col>
      <xdr:colOff>427691</xdr:colOff>
      <xdr:row>83</xdr:row>
      <xdr:rowOff>192153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359CEBF-8221-4D81-8E93-09C1ABA0A589}"/>
            </a:ext>
          </a:extLst>
        </xdr:cNvPr>
        <xdr:cNvCxnSpPr/>
      </xdr:nvCxnSpPr>
      <xdr:spPr>
        <a:xfrm flipH="1">
          <a:off x="10810315" y="11927541"/>
          <a:ext cx="9151" cy="435233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14940</xdr:colOff>
      <xdr:row>86</xdr:row>
      <xdr:rowOff>145115</xdr:rowOff>
    </xdr:from>
    <xdr:to>
      <xdr:col>20</xdr:col>
      <xdr:colOff>168769</xdr:colOff>
      <xdr:row>107</xdr:row>
      <xdr:rowOff>129053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B32936-6146-4FFE-ADE8-4515CFCF9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0390" y="16832915"/>
          <a:ext cx="7240429" cy="4184463"/>
        </a:xfrm>
        <a:prstGeom prst="rect">
          <a:avLst/>
        </a:prstGeom>
      </xdr:spPr>
    </xdr:pic>
    <xdr:clientData/>
  </xdr:twoCellAnchor>
  <xdr:twoCellAnchor>
    <xdr:from>
      <xdr:col>13</xdr:col>
      <xdr:colOff>216647</xdr:colOff>
      <xdr:row>86</xdr:row>
      <xdr:rowOff>141942</xdr:rowOff>
    </xdr:from>
    <xdr:to>
      <xdr:col>13</xdr:col>
      <xdr:colOff>227293</xdr:colOff>
      <xdr:row>107</xdr:row>
      <xdr:rowOff>100293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16FD8E0-C533-47FC-BA04-4CF2FA66611D}"/>
            </a:ext>
          </a:extLst>
        </xdr:cNvPr>
        <xdr:cNvCxnSpPr/>
      </xdr:nvCxnSpPr>
      <xdr:spPr>
        <a:xfrm flipH="1" flipV="1">
          <a:off x="7979522" y="16829742"/>
          <a:ext cx="10646" cy="4158876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18116</xdr:colOff>
      <xdr:row>86</xdr:row>
      <xdr:rowOff>61817</xdr:rowOff>
    </xdr:from>
    <xdr:to>
      <xdr:col>18</xdr:col>
      <xdr:colOff>22412</xdr:colOff>
      <xdr:row>107</xdr:row>
      <xdr:rowOff>16993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27BCADF-E9FF-493C-82A3-1FE5D26EA8EB}"/>
            </a:ext>
          </a:extLst>
        </xdr:cNvPr>
        <xdr:cNvCxnSpPr/>
      </xdr:nvCxnSpPr>
      <xdr:spPr>
        <a:xfrm flipH="1" flipV="1">
          <a:off x="11048066" y="16749617"/>
          <a:ext cx="4296" cy="415570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373530</xdr:colOff>
      <xdr:row>100</xdr:row>
      <xdr:rowOff>194235</xdr:rowOff>
    </xdr:from>
    <xdr:to>
      <xdr:col>19</xdr:col>
      <xdr:colOff>814295</xdr:colOff>
      <xdr:row>101</xdr:row>
      <xdr:rowOff>7472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4C559F6-79EB-41C0-9B96-E64196B1645C}"/>
            </a:ext>
          </a:extLst>
        </xdr:cNvPr>
        <xdr:cNvCxnSpPr/>
      </xdr:nvCxnSpPr>
      <xdr:spPr>
        <a:xfrm flipH="1" flipV="1">
          <a:off x="6279030" y="19682385"/>
          <a:ext cx="6289115" cy="1326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204881</xdr:colOff>
      <xdr:row>39</xdr:row>
      <xdr:rowOff>112059</xdr:rowOff>
    </xdr:from>
    <xdr:to>
      <xdr:col>30</xdr:col>
      <xdr:colOff>414888</xdr:colOff>
      <xdr:row>56</xdr:row>
      <xdr:rowOff>131590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48F023-648A-4097-99C9-685A9E78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3831" y="7398684"/>
          <a:ext cx="5963107" cy="3419956"/>
        </a:xfrm>
        <a:prstGeom prst="rect">
          <a:avLst/>
        </a:prstGeom>
      </xdr:spPr>
    </xdr:pic>
    <xdr:clientData/>
  </xdr:twoCellAnchor>
  <xdr:twoCellAnchor>
    <xdr:from>
      <xdr:col>25</xdr:col>
      <xdr:colOff>216647</xdr:colOff>
      <xdr:row>39</xdr:row>
      <xdr:rowOff>112059</xdr:rowOff>
    </xdr:from>
    <xdr:to>
      <xdr:col>25</xdr:col>
      <xdr:colOff>219822</xdr:colOff>
      <xdr:row>56</xdr:row>
      <xdr:rowOff>33057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9717525-2BE6-42EA-830E-751B9B816F51}"/>
            </a:ext>
          </a:extLst>
        </xdr:cNvPr>
        <xdr:cNvCxnSpPr/>
      </xdr:nvCxnSpPr>
      <xdr:spPr>
        <a:xfrm>
          <a:off x="16732997" y="7398684"/>
          <a:ext cx="3175" cy="332142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653116</xdr:colOff>
      <xdr:row>39</xdr:row>
      <xdr:rowOff>89647</xdr:rowOff>
    </xdr:from>
    <xdr:to>
      <xdr:col>28</xdr:col>
      <xdr:colOff>653116</xdr:colOff>
      <xdr:row>56</xdr:row>
      <xdr:rowOff>13820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60A5C6A-ADF9-4CD3-8BBF-44CD47DE8432}"/>
            </a:ext>
          </a:extLst>
        </xdr:cNvPr>
        <xdr:cNvCxnSpPr/>
      </xdr:nvCxnSpPr>
      <xdr:spPr>
        <a:xfrm>
          <a:off x="18941116" y="7376272"/>
          <a:ext cx="0" cy="332459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316941</xdr:colOff>
      <xdr:row>48</xdr:row>
      <xdr:rowOff>186764</xdr:rowOff>
    </xdr:from>
    <xdr:to>
      <xdr:col>30</xdr:col>
      <xdr:colOff>14941</xdr:colOff>
      <xdr:row>49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A223B04-250A-4C7D-8A53-D49796325ADD}"/>
            </a:ext>
          </a:extLst>
        </xdr:cNvPr>
        <xdr:cNvCxnSpPr/>
      </xdr:nvCxnSpPr>
      <xdr:spPr>
        <a:xfrm flipH="1">
          <a:off x="15633141" y="9273614"/>
          <a:ext cx="4593850" cy="1326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644071</xdr:colOff>
      <xdr:row>62</xdr:row>
      <xdr:rowOff>18142</xdr:rowOff>
    </xdr:from>
    <xdr:to>
      <xdr:col>31</xdr:col>
      <xdr:colOff>54428</xdr:colOff>
      <xdr:row>83</xdr:row>
      <xdr:rowOff>74465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246F39E-81AE-4232-8AA7-7F623877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03021" y="11905342"/>
          <a:ext cx="6125482" cy="4256848"/>
        </a:xfrm>
        <a:prstGeom prst="rect">
          <a:avLst/>
        </a:prstGeom>
      </xdr:spPr>
    </xdr:pic>
    <xdr:clientData/>
  </xdr:twoCellAnchor>
  <xdr:twoCellAnchor>
    <xdr:from>
      <xdr:col>23</xdr:col>
      <xdr:colOff>257175</xdr:colOff>
      <xdr:row>73</xdr:row>
      <xdr:rowOff>66675</xdr:rowOff>
    </xdr:from>
    <xdr:to>
      <xdr:col>30</xdr:col>
      <xdr:colOff>680357</xdr:colOff>
      <xdr:row>73</xdr:row>
      <xdr:rowOff>72572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13B5CB6-203F-467E-87AB-11AFA049C4D8}"/>
            </a:ext>
          </a:extLst>
        </xdr:cNvPr>
        <xdr:cNvCxnSpPr/>
      </xdr:nvCxnSpPr>
      <xdr:spPr>
        <a:xfrm>
          <a:off x="15573375" y="14154150"/>
          <a:ext cx="5319032" cy="589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257175</xdr:colOff>
      <xdr:row>73</xdr:row>
      <xdr:rowOff>66675</xdr:rowOff>
    </xdr:from>
    <xdr:to>
      <xdr:col>30</xdr:col>
      <xdr:colOff>680357</xdr:colOff>
      <xdr:row>73</xdr:row>
      <xdr:rowOff>69397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DD8E252-784D-4D3E-B13E-4783DEC45DF1}"/>
            </a:ext>
          </a:extLst>
        </xdr:cNvPr>
        <xdr:cNvCxnSpPr/>
      </xdr:nvCxnSpPr>
      <xdr:spPr>
        <a:xfrm>
          <a:off x="15573375" y="14154150"/>
          <a:ext cx="5319032" cy="272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399143</xdr:colOff>
      <xdr:row>61</xdr:row>
      <xdr:rowOff>181429</xdr:rowOff>
    </xdr:from>
    <xdr:to>
      <xdr:col>25</xdr:col>
      <xdr:colOff>411389</xdr:colOff>
      <xdr:row>81</xdr:row>
      <xdr:rowOff>136071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5082317-0910-4EE2-A54E-F9023F6FD634}"/>
            </a:ext>
          </a:extLst>
        </xdr:cNvPr>
        <xdr:cNvCxnSpPr/>
      </xdr:nvCxnSpPr>
      <xdr:spPr>
        <a:xfrm>
          <a:off x="16915493" y="11868604"/>
          <a:ext cx="12246" cy="395514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127000</xdr:colOff>
      <xdr:row>61</xdr:row>
      <xdr:rowOff>145143</xdr:rowOff>
    </xdr:from>
    <xdr:to>
      <xdr:col>29</xdr:col>
      <xdr:colOff>130175</xdr:colOff>
      <xdr:row>81</xdr:row>
      <xdr:rowOff>117928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8A6C223-0E57-4B98-B9A3-C29FAFD771C3}"/>
            </a:ext>
          </a:extLst>
        </xdr:cNvPr>
        <xdr:cNvCxnSpPr/>
      </xdr:nvCxnSpPr>
      <xdr:spPr>
        <a:xfrm>
          <a:off x="19377025" y="11832318"/>
          <a:ext cx="3175" cy="397328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756104</xdr:colOff>
      <xdr:row>85</xdr:row>
      <xdr:rowOff>90713</xdr:rowOff>
    </xdr:from>
    <xdr:to>
      <xdr:col>31</xdr:col>
      <xdr:colOff>534823</xdr:colOff>
      <xdr:row>105</xdr:row>
      <xdr:rowOff>174624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071DC77-9CA7-442D-A422-035651D81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15054" y="16578488"/>
          <a:ext cx="6493844" cy="4084411"/>
        </a:xfrm>
        <a:prstGeom prst="rect">
          <a:avLst/>
        </a:prstGeom>
      </xdr:spPr>
    </xdr:pic>
    <xdr:clientData/>
  </xdr:twoCellAnchor>
  <xdr:twoCellAnchor>
    <xdr:from>
      <xdr:col>26</xdr:col>
      <xdr:colOff>254000</xdr:colOff>
      <xdr:row>85</xdr:row>
      <xdr:rowOff>0</xdr:rowOff>
    </xdr:from>
    <xdr:to>
      <xdr:col>26</xdr:col>
      <xdr:colOff>257175</xdr:colOff>
      <xdr:row>105</xdr:row>
      <xdr:rowOff>57727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5F44503-B17E-414B-B2DB-00C6FCC08A46}"/>
            </a:ext>
          </a:extLst>
        </xdr:cNvPr>
        <xdr:cNvCxnSpPr/>
      </xdr:nvCxnSpPr>
      <xdr:spPr>
        <a:xfrm>
          <a:off x="17303750" y="16487775"/>
          <a:ext cx="3175" cy="405822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773422</xdr:colOff>
      <xdr:row>85</xdr:row>
      <xdr:rowOff>82342</xdr:rowOff>
    </xdr:from>
    <xdr:to>
      <xdr:col>29</xdr:col>
      <xdr:colOff>779772</xdr:colOff>
      <xdr:row>105</xdr:row>
      <xdr:rowOff>140069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FCADF0C-FE32-493F-8F82-4B844630D883}"/>
            </a:ext>
          </a:extLst>
        </xdr:cNvPr>
        <xdr:cNvCxnSpPr/>
      </xdr:nvCxnSpPr>
      <xdr:spPr>
        <a:xfrm>
          <a:off x="20023447" y="16570117"/>
          <a:ext cx="6350" cy="405822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115455</xdr:colOff>
      <xdr:row>96</xdr:row>
      <xdr:rowOff>141720</xdr:rowOff>
    </xdr:from>
    <xdr:to>
      <xdr:col>31</xdr:col>
      <xdr:colOff>369455</xdr:colOff>
      <xdr:row>96</xdr:row>
      <xdr:rowOff>173181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77B20AB-9090-42BF-9879-27BFA1BCFD35}"/>
            </a:ext>
          </a:extLst>
        </xdr:cNvPr>
        <xdr:cNvCxnSpPr/>
      </xdr:nvCxnSpPr>
      <xdr:spPr>
        <a:xfrm flipH="1" flipV="1">
          <a:off x="15993630" y="18829770"/>
          <a:ext cx="5549900" cy="3146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133349</xdr:colOff>
      <xdr:row>109</xdr:row>
      <xdr:rowOff>14721</xdr:rowOff>
    </xdr:from>
    <xdr:to>
      <xdr:col>20</xdr:col>
      <xdr:colOff>16096</xdr:colOff>
      <xdr:row>132</xdr:row>
      <xdr:rowOff>15014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AAD5A0B-C0D8-444D-BFEC-F475F6225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38849" y="21303096"/>
          <a:ext cx="6569297" cy="4600868"/>
        </a:xfrm>
        <a:prstGeom prst="rect">
          <a:avLst/>
        </a:prstGeom>
      </xdr:spPr>
    </xdr:pic>
    <xdr:clientData/>
  </xdr:twoCellAnchor>
  <xdr:twoCellAnchor>
    <xdr:from>
      <xdr:col>11</xdr:col>
      <xdr:colOff>323273</xdr:colOff>
      <xdr:row>121</xdr:row>
      <xdr:rowOff>34636</xdr:rowOff>
    </xdr:from>
    <xdr:to>
      <xdr:col>20</xdr:col>
      <xdr:colOff>80818</xdr:colOff>
      <xdr:row>121</xdr:row>
      <xdr:rowOff>52532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DA8E635-6237-4062-8718-ADFEF2EED029}"/>
            </a:ext>
          </a:extLst>
        </xdr:cNvPr>
        <xdr:cNvCxnSpPr/>
      </xdr:nvCxnSpPr>
      <xdr:spPr>
        <a:xfrm flipV="1">
          <a:off x="6866948" y="23723311"/>
          <a:ext cx="5805920" cy="17896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508000</xdr:colOff>
      <xdr:row>108</xdr:row>
      <xdr:rowOff>23091</xdr:rowOff>
    </xdr:from>
    <xdr:to>
      <xdr:col>13</xdr:col>
      <xdr:colOff>531091</xdr:colOff>
      <xdr:row>130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A13BB2D-81AE-403A-AB08-1F2E49F88B03}"/>
            </a:ext>
          </a:extLst>
        </xdr:cNvPr>
        <xdr:cNvCxnSpPr/>
      </xdr:nvCxnSpPr>
      <xdr:spPr>
        <a:xfrm>
          <a:off x="8270875" y="21111441"/>
          <a:ext cx="23091" cy="4377459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280265</xdr:colOff>
      <xdr:row>108</xdr:row>
      <xdr:rowOff>196273</xdr:rowOff>
    </xdr:from>
    <xdr:to>
      <xdr:col>30</xdr:col>
      <xdr:colOff>759978</xdr:colOff>
      <xdr:row>128</xdr:row>
      <xdr:rowOff>20425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B96D112-1973-4998-A2D3-0EA8AE907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739215" y="21284623"/>
          <a:ext cx="6232813" cy="3824652"/>
        </a:xfrm>
        <a:prstGeom prst="rect">
          <a:avLst/>
        </a:prstGeom>
      </xdr:spPr>
    </xdr:pic>
    <xdr:clientData/>
  </xdr:twoCellAnchor>
  <xdr:twoCellAnchor>
    <xdr:from>
      <xdr:col>25</xdr:col>
      <xdr:colOff>161636</xdr:colOff>
      <xdr:row>109</xdr:row>
      <xdr:rowOff>23091</xdr:rowOff>
    </xdr:from>
    <xdr:to>
      <xdr:col>25</xdr:col>
      <xdr:colOff>311727</xdr:colOff>
      <xdr:row>129</xdr:row>
      <xdr:rowOff>173181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D601991-D5A1-4C0B-8FB1-58F2250A76D8}"/>
            </a:ext>
          </a:extLst>
        </xdr:cNvPr>
        <xdr:cNvCxnSpPr/>
      </xdr:nvCxnSpPr>
      <xdr:spPr>
        <a:xfrm>
          <a:off x="16677986" y="21311466"/>
          <a:ext cx="150091" cy="415059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953076</xdr:colOff>
      <xdr:row>107</xdr:row>
      <xdr:rowOff>92363</xdr:rowOff>
    </xdr:from>
    <xdr:to>
      <xdr:col>29</xdr:col>
      <xdr:colOff>-1</xdr:colOff>
      <xdr:row>128</xdr:row>
      <xdr:rowOff>37812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8DB36707-7D8A-4A3D-9357-983AF44ACB4E}"/>
            </a:ext>
          </a:extLst>
        </xdr:cNvPr>
        <xdr:cNvCxnSpPr/>
      </xdr:nvCxnSpPr>
      <xdr:spPr>
        <a:xfrm flipH="1">
          <a:off x="19241076" y="20980688"/>
          <a:ext cx="8948" cy="414597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80818</xdr:colOff>
      <xdr:row>118</xdr:row>
      <xdr:rowOff>50936</xdr:rowOff>
    </xdr:from>
    <xdr:to>
      <xdr:col>30</xdr:col>
      <xdr:colOff>759979</xdr:colOff>
      <xdr:row>118</xdr:row>
      <xdr:rowOff>80054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F7E99F7-D2EF-41AC-BAD4-2F094B1EC874}"/>
            </a:ext>
          </a:extLst>
        </xdr:cNvPr>
        <xdr:cNvCxnSpPr/>
      </xdr:nvCxnSpPr>
      <xdr:spPr>
        <a:xfrm>
          <a:off x="15397018" y="23139536"/>
          <a:ext cx="5575011" cy="2911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239244</xdr:colOff>
      <xdr:row>38</xdr:row>
      <xdr:rowOff>19797</xdr:rowOff>
    </xdr:from>
    <xdr:to>
      <xdr:col>36</xdr:col>
      <xdr:colOff>892565</xdr:colOff>
      <xdr:row>57</xdr:row>
      <xdr:rowOff>1283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A3706B0-D7EE-44DC-A4FE-FCFB2A408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13319" y="7106397"/>
          <a:ext cx="5463446" cy="3781961"/>
        </a:xfrm>
        <a:prstGeom prst="rect">
          <a:avLst/>
        </a:prstGeom>
      </xdr:spPr>
    </xdr:pic>
    <xdr:clientData/>
  </xdr:twoCellAnchor>
  <xdr:twoCellAnchor>
    <xdr:from>
      <xdr:col>32</xdr:col>
      <xdr:colOff>754531</xdr:colOff>
      <xdr:row>38</xdr:row>
      <xdr:rowOff>52294</xdr:rowOff>
    </xdr:from>
    <xdr:to>
      <xdr:col>32</xdr:col>
      <xdr:colOff>832412</xdr:colOff>
      <xdr:row>55</xdr:row>
      <xdr:rowOff>122704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4F3ABC2-A380-4C23-8355-284CDC88ABC6}"/>
            </a:ext>
          </a:extLst>
        </xdr:cNvPr>
        <xdr:cNvCxnSpPr/>
      </xdr:nvCxnSpPr>
      <xdr:spPr>
        <a:xfrm>
          <a:off x="22890631" y="7138894"/>
          <a:ext cx="77881" cy="347083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720351</xdr:colOff>
      <xdr:row>45</xdr:row>
      <xdr:rowOff>22412</xdr:rowOff>
    </xdr:from>
    <xdr:to>
      <xdr:col>34</xdr:col>
      <xdr:colOff>82177</xdr:colOff>
      <xdr:row>45</xdr:row>
      <xdr:rowOff>59765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A7424B47-5FB2-48B9-9C8E-04E13631A056}"/>
            </a:ext>
          </a:extLst>
        </xdr:cNvPr>
        <xdr:cNvCxnSpPr/>
      </xdr:nvCxnSpPr>
      <xdr:spPr>
        <a:xfrm flipH="1">
          <a:off x="21894426" y="8509187"/>
          <a:ext cx="2247901" cy="3735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76146</xdr:colOff>
      <xdr:row>23</xdr:row>
      <xdr:rowOff>68008</xdr:rowOff>
    </xdr:from>
    <xdr:to>
      <xdr:col>30</xdr:col>
      <xdr:colOff>947563</xdr:colOff>
      <xdr:row>38</xdr:row>
      <xdr:rowOff>146930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4291A-5CB5-478E-943B-699C05FB0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233402</xdr:colOff>
      <xdr:row>37</xdr:row>
      <xdr:rowOff>103175</xdr:rowOff>
    </xdr:from>
    <xdr:to>
      <xdr:col>19</xdr:col>
      <xdr:colOff>816969</xdr:colOff>
      <xdr:row>61</xdr:row>
      <xdr:rowOff>130188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BBFCC3-9F06-453B-8EBF-A556F84F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3438" y="7029211"/>
          <a:ext cx="7666538" cy="4922409"/>
        </a:xfrm>
        <a:prstGeom prst="rect">
          <a:avLst/>
        </a:prstGeom>
      </xdr:spPr>
    </xdr:pic>
    <xdr:clientData/>
  </xdr:twoCellAnchor>
  <xdr:twoCellAnchor>
    <xdr:from>
      <xdr:col>9</xdr:col>
      <xdr:colOff>23668</xdr:colOff>
      <xdr:row>49</xdr:row>
      <xdr:rowOff>42884</xdr:rowOff>
    </xdr:from>
    <xdr:to>
      <xdr:col>19</xdr:col>
      <xdr:colOff>172934</xdr:colOff>
      <xdr:row>49</xdr:row>
      <xdr:rowOff>88241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2D9DEA0-7361-45ED-B1E0-7AACFBBEE76E}"/>
            </a:ext>
          </a:extLst>
        </xdr:cNvPr>
        <xdr:cNvCxnSpPr/>
      </xdr:nvCxnSpPr>
      <xdr:spPr>
        <a:xfrm>
          <a:off x="5542395" y="9567884"/>
          <a:ext cx="6175994" cy="4535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299357</xdr:colOff>
      <xdr:row>49</xdr:row>
      <xdr:rowOff>54428</xdr:rowOff>
    </xdr:from>
    <xdr:to>
      <xdr:col>4</xdr:col>
      <xdr:colOff>344714</xdr:colOff>
      <xdr:row>49</xdr:row>
      <xdr:rowOff>54428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A5F43BF-47E9-40A6-9794-0597483129F9}"/>
            </a:ext>
          </a:extLst>
        </xdr:cNvPr>
        <xdr:cNvCxnSpPr/>
      </xdr:nvCxnSpPr>
      <xdr:spPr>
        <a:xfrm>
          <a:off x="2349500" y="9343571"/>
          <a:ext cx="453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149143</xdr:colOff>
      <xdr:row>38</xdr:row>
      <xdr:rowOff>141720</xdr:rowOff>
    </xdr:from>
    <xdr:to>
      <xdr:col>16</xdr:col>
      <xdr:colOff>212643</xdr:colOff>
      <xdr:row>60</xdr:row>
      <xdr:rowOff>42759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22A9A61-A081-4670-8DC5-75AC970DD484}"/>
            </a:ext>
          </a:extLst>
        </xdr:cNvPr>
        <xdr:cNvCxnSpPr/>
      </xdr:nvCxnSpPr>
      <xdr:spPr>
        <a:xfrm>
          <a:off x="9919072" y="7235577"/>
          <a:ext cx="63500" cy="429161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90713</xdr:colOff>
      <xdr:row>63</xdr:row>
      <xdr:rowOff>48532</xdr:rowOff>
    </xdr:from>
    <xdr:to>
      <xdr:col>19</xdr:col>
      <xdr:colOff>547888</xdr:colOff>
      <xdr:row>86</xdr:row>
      <xdr:rowOff>415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98BF11C-9456-4FDE-A8BB-63E34D67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0713" y="12131675"/>
          <a:ext cx="6694715" cy="4542026"/>
        </a:xfrm>
        <a:prstGeom prst="rect">
          <a:avLst/>
        </a:prstGeom>
      </xdr:spPr>
    </xdr:pic>
    <xdr:clientData/>
  </xdr:twoCellAnchor>
  <xdr:twoCellAnchor>
    <xdr:from>
      <xdr:col>12</xdr:col>
      <xdr:colOff>384175</xdr:colOff>
      <xdr:row>37</xdr:row>
      <xdr:rowOff>145142</xdr:rowOff>
    </xdr:from>
    <xdr:to>
      <xdr:col>12</xdr:col>
      <xdr:colOff>441325</xdr:colOff>
      <xdr:row>59</xdr:row>
      <xdr:rowOff>57603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2B07E29-390F-4C7A-A50A-BF67FA90094E}"/>
            </a:ext>
          </a:extLst>
        </xdr:cNvPr>
        <xdr:cNvCxnSpPr/>
      </xdr:nvCxnSpPr>
      <xdr:spPr>
        <a:xfrm>
          <a:off x="6888389" y="7039428"/>
          <a:ext cx="57150" cy="430303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316940</xdr:colOff>
      <xdr:row>75</xdr:row>
      <xdr:rowOff>92822</xdr:rowOff>
    </xdr:from>
    <xdr:to>
      <xdr:col>19</xdr:col>
      <xdr:colOff>433294</xdr:colOff>
      <xdr:row>75</xdr:row>
      <xdr:rowOff>134470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A891C20-B165-423A-B623-2D97F656B689}"/>
            </a:ext>
          </a:extLst>
        </xdr:cNvPr>
        <xdr:cNvCxnSpPr/>
      </xdr:nvCxnSpPr>
      <xdr:spPr>
        <a:xfrm>
          <a:off x="5807822" y="14742646"/>
          <a:ext cx="5734237" cy="4164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116728</xdr:colOff>
      <xdr:row>62</xdr:row>
      <xdr:rowOff>14941</xdr:rowOff>
    </xdr:from>
    <xdr:to>
      <xdr:col>13</xdr:col>
      <xdr:colOff>119529</xdr:colOff>
      <xdr:row>83</xdr:row>
      <xdr:rowOff>163578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DE2B5BC-57BC-45BC-BE69-054B6589FE6C}"/>
            </a:ext>
          </a:extLst>
        </xdr:cNvPr>
        <xdr:cNvCxnSpPr/>
      </xdr:nvCxnSpPr>
      <xdr:spPr>
        <a:xfrm flipH="1">
          <a:off x="7228728" y="12042588"/>
          <a:ext cx="2801" cy="438446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418540</xdr:colOff>
      <xdr:row>62</xdr:row>
      <xdr:rowOff>40341</xdr:rowOff>
    </xdr:from>
    <xdr:to>
      <xdr:col>17</xdr:col>
      <xdr:colOff>427691</xdr:colOff>
      <xdr:row>83</xdr:row>
      <xdr:rowOff>192153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9818565-6AC7-4A64-8162-E902E3FA5F7B}"/>
            </a:ext>
          </a:extLst>
        </xdr:cNvPr>
        <xdr:cNvCxnSpPr/>
      </xdr:nvCxnSpPr>
      <xdr:spPr>
        <a:xfrm flipH="1">
          <a:off x="10160187" y="12067988"/>
          <a:ext cx="9151" cy="4387636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14940</xdr:colOff>
      <xdr:row>86</xdr:row>
      <xdr:rowOff>145115</xdr:rowOff>
    </xdr:from>
    <xdr:to>
      <xdr:col>20</xdr:col>
      <xdr:colOff>168769</xdr:colOff>
      <xdr:row>107</xdr:row>
      <xdr:rowOff>129053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EC41E62-9CA5-4555-B3BC-A3B79E5E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02411" y="17013703"/>
          <a:ext cx="7244537" cy="4210237"/>
        </a:xfrm>
        <a:prstGeom prst="rect">
          <a:avLst/>
        </a:prstGeom>
      </xdr:spPr>
    </xdr:pic>
    <xdr:clientData/>
  </xdr:twoCellAnchor>
  <xdr:twoCellAnchor>
    <xdr:from>
      <xdr:col>13</xdr:col>
      <xdr:colOff>216647</xdr:colOff>
      <xdr:row>86</xdr:row>
      <xdr:rowOff>141942</xdr:rowOff>
    </xdr:from>
    <xdr:to>
      <xdr:col>13</xdr:col>
      <xdr:colOff>227293</xdr:colOff>
      <xdr:row>107</xdr:row>
      <xdr:rowOff>100293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925AA02-502C-49FA-83D5-D8FAB2CE4168}"/>
            </a:ext>
          </a:extLst>
        </xdr:cNvPr>
        <xdr:cNvCxnSpPr/>
      </xdr:nvCxnSpPr>
      <xdr:spPr>
        <a:xfrm flipH="1" flipV="1">
          <a:off x="7328647" y="17010530"/>
          <a:ext cx="10646" cy="419417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18116</xdr:colOff>
      <xdr:row>86</xdr:row>
      <xdr:rowOff>61817</xdr:rowOff>
    </xdr:from>
    <xdr:to>
      <xdr:col>18</xdr:col>
      <xdr:colOff>22412</xdr:colOff>
      <xdr:row>107</xdr:row>
      <xdr:rowOff>16993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60EA6B5-C861-4BA5-975D-B24F121EF43C}"/>
            </a:ext>
          </a:extLst>
        </xdr:cNvPr>
        <xdr:cNvCxnSpPr/>
      </xdr:nvCxnSpPr>
      <xdr:spPr>
        <a:xfrm flipH="1" flipV="1">
          <a:off x="10402234" y="16930405"/>
          <a:ext cx="4296" cy="41910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373530</xdr:colOff>
      <xdr:row>100</xdr:row>
      <xdr:rowOff>194235</xdr:rowOff>
    </xdr:from>
    <xdr:to>
      <xdr:col>19</xdr:col>
      <xdr:colOff>814295</xdr:colOff>
      <xdr:row>101</xdr:row>
      <xdr:rowOff>7472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66E83C4-3B1E-4E22-AB97-2BDD4550461D}"/>
            </a:ext>
          </a:extLst>
        </xdr:cNvPr>
        <xdr:cNvCxnSpPr/>
      </xdr:nvCxnSpPr>
      <xdr:spPr>
        <a:xfrm flipH="1" flipV="1">
          <a:off x="5864412" y="19886706"/>
          <a:ext cx="6058648" cy="1494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204881</xdr:colOff>
      <xdr:row>39</xdr:row>
      <xdr:rowOff>112059</xdr:rowOff>
    </xdr:from>
    <xdr:to>
      <xdr:col>30</xdr:col>
      <xdr:colOff>414888</xdr:colOff>
      <xdr:row>56</xdr:row>
      <xdr:rowOff>131590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42A28C3-501A-493C-AC55-E264B5F7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7469" y="7500471"/>
          <a:ext cx="5966657" cy="3448531"/>
        </a:xfrm>
        <a:prstGeom prst="rect">
          <a:avLst/>
        </a:prstGeom>
      </xdr:spPr>
    </xdr:pic>
    <xdr:clientData/>
  </xdr:twoCellAnchor>
  <xdr:twoCellAnchor>
    <xdr:from>
      <xdr:col>25</xdr:col>
      <xdr:colOff>216647</xdr:colOff>
      <xdr:row>39</xdr:row>
      <xdr:rowOff>112059</xdr:rowOff>
    </xdr:from>
    <xdr:to>
      <xdr:col>25</xdr:col>
      <xdr:colOff>219822</xdr:colOff>
      <xdr:row>56</xdr:row>
      <xdr:rowOff>33057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EE7324E-20D8-44B7-A656-6EC57E5ED42E}"/>
            </a:ext>
          </a:extLst>
        </xdr:cNvPr>
        <xdr:cNvCxnSpPr/>
      </xdr:nvCxnSpPr>
      <xdr:spPr>
        <a:xfrm>
          <a:off x="15598588" y="7500471"/>
          <a:ext cx="3175" cy="334999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653116</xdr:colOff>
      <xdr:row>39</xdr:row>
      <xdr:rowOff>89647</xdr:rowOff>
    </xdr:from>
    <xdr:to>
      <xdr:col>28</xdr:col>
      <xdr:colOff>653116</xdr:colOff>
      <xdr:row>56</xdr:row>
      <xdr:rowOff>13820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41ED762-9EE5-4CE4-ABD2-46D8AB7B4909}"/>
            </a:ext>
          </a:extLst>
        </xdr:cNvPr>
        <xdr:cNvCxnSpPr/>
      </xdr:nvCxnSpPr>
      <xdr:spPr>
        <a:xfrm>
          <a:off x="17798116" y="7478059"/>
          <a:ext cx="0" cy="335317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316941</xdr:colOff>
      <xdr:row>48</xdr:row>
      <xdr:rowOff>186764</xdr:rowOff>
    </xdr:from>
    <xdr:to>
      <xdr:col>30</xdr:col>
      <xdr:colOff>14941</xdr:colOff>
      <xdr:row>49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8946EB1-4153-4EE7-8EE5-43C75C5B8E66}"/>
            </a:ext>
          </a:extLst>
        </xdr:cNvPr>
        <xdr:cNvCxnSpPr/>
      </xdr:nvCxnSpPr>
      <xdr:spPr>
        <a:xfrm flipH="1">
          <a:off x="14488647" y="9390529"/>
          <a:ext cx="4598706" cy="1494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644071</xdr:colOff>
      <xdr:row>62</xdr:row>
      <xdr:rowOff>18142</xdr:rowOff>
    </xdr:from>
    <xdr:to>
      <xdr:col>31</xdr:col>
      <xdr:colOff>54428</xdr:colOff>
      <xdr:row>83</xdr:row>
      <xdr:rowOff>74465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73AA3F-C3BF-40DA-A164-BCD33873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42785" y="11901713"/>
          <a:ext cx="6141358" cy="4244148"/>
        </a:xfrm>
        <a:prstGeom prst="rect">
          <a:avLst/>
        </a:prstGeom>
      </xdr:spPr>
    </xdr:pic>
    <xdr:clientData/>
  </xdr:twoCellAnchor>
  <xdr:twoCellAnchor>
    <xdr:from>
      <xdr:col>23</xdr:col>
      <xdr:colOff>257175</xdr:colOff>
      <xdr:row>73</xdr:row>
      <xdr:rowOff>66675</xdr:rowOff>
    </xdr:from>
    <xdr:to>
      <xdr:col>30</xdr:col>
      <xdr:colOff>680357</xdr:colOff>
      <xdr:row>73</xdr:row>
      <xdr:rowOff>72572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F872D45-0ACB-4115-BBD1-5CE526B45638}"/>
            </a:ext>
          </a:extLst>
        </xdr:cNvPr>
        <xdr:cNvCxnSpPr/>
      </xdr:nvCxnSpPr>
      <xdr:spPr>
        <a:xfrm>
          <a:off x="14417675" y="14145532"/>
          <a:ext cx="5330825" cy="589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257175</xdr:colOff>
      <xdr:row>73</xdr:row>
      <xdr:rowOff>66675</xdr:rowOff>
    </xdr:from>
    <xdr:to>
      <xdr:col>30</xdr:col>
      <xdr:colOff>680357</xdr:colOff>
      <xdr:row>73</xdr:row>
      <xdr:rowOff>69397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5EEC74B0-CA3A-4FF4-9C68-3A229CBD7F06}"/>
            </a:ext>
          </a:extLst>
        </xdr:cNvPr>
        <xdr:cNvCxnSpPr/>
      </xdr:nvCxnSpPr>
      <xdr:spPr>
        <a:xfrm>
          <a:off x="14417675" y="14145532"/>
          <a:ext cx="5330825" cy="2722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399143</xdr:colOff>
      <xdr:row>61</xdr:row>
      <xdr:rowOff>181429</xdr:rowOff>
    </xdr:from>
    <xdr:to>
      <xdr:col>25</xdr:col>
      <xdr:colOff>411389</xdr:colOff>
      <xdr:row>81</xdr:row>
      <xdr:rowOff>136071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24681E8-175E-47AC-995E-AC28D9833FBD}"/>
            </a:ext>
          </a:extLst>
        </xdr:cNvPr>
        <xdr:cNvCxnSpPr/>
      </xdr:nvCxnSpPr>
      <xdr:spPr>
        <a:xfrm>
          <a:off x="15766143" y="11865429"/>
          <a:ext cx="12246" cy="394607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127000</xdr:colOff>
      <xdr:row>61</xdr:row>
      <xdr:rowOff>145143</xdr:rowOff>
    </xdr:from>
    <xdr:to>
      <xdr:col>29</xdr:col>
      <xdr:colOff>130175</xdr:colOff>
      <xdr:row>81</xdr:row>
      <xdr:rowOff>117928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D86AF91-6B63-4E92-A85D-594F3652A52A}"/>
            </a:ext>
          </a:extLst>
        </xdr:cNvPr>
        <xdr:cNvCxnSpPr/>
      </xdr:nvCxnSpPr>
      <xdr:spPr>
        <a:xfrm>
          <a:off x="18233571" y="11829143"/>
          <a:ext cx="3175" cy="396421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756104</xdr:colOff>
      <xdr:row>85</xdr:row>
      <xdr:rowOff>90713</xdr:rowOff>
    </xdr:from>
    <xdr:to>
      <xdr:col>31</xdr:col>
      <xdr:colOff>534823</xdr:colOff>
      <xdr:row>105</xdr:row>
      <xdr:rowOff>174624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D74C96EF-1E6E-4E73-94FF-39EF0176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027604" y="16981713"/>
          <a:ext cx="6525595" cy="4211411"/>
        </a:xfrm>
        <a:prstGeom prst="rect">
          <a:avLst/>
        </a:prstGeom>
      </xdr:spPr>
    </xdr:pic>
    <xdr:clientData/>
  </xdr:twoCellAnchor>
  <xdr:twoCellAnchor>
    <xdr:from>
      <xdr:col>26</xdr:col>
      <xdr:colOff>254000</xdr:colOff>
      <xdr:row>85</xdr:row>
      <xdr:rowOff>0</xdr:rowOff>
    </xdr:from>
    <xdr:to>
      <xdr:col>26</xdr:col>
      <xdr:colOff>257175</xdr:colOff>
      <xdr:row>105</xdr:row>
      <xdr:rowOff>57727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AB1A973-72A6-4DFA-A375-18497BF6D09F}"/>
            </a:ext>
          </a:extLst>
        </xdr:cNvPr>
        <xdr:cNvCxnSpPr/>
      </xdr:nvCxnSpPr>
      <xdr:spPr>
        <a:xfrm>
          <a:off x="16152091" y="17006455"/>
          <a:ext cx="3175" cy="421409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773422</xdr:colOff>
      <xdr:row>85</xdr:row>
      <xdr:rowOff>82342</xdr:rowOff>
    </xdr:from>
    <xdr:to>
      <xdr:col>29</xdr:col>
      <xdr:colOff>779772</xdr:colOff>
      <xdr:row>105</xdr:row>
      <xdr:rowOff>140069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C07DF46-9F4E-4B35-AC31-46135591DB7F}"/>
            </a:ext>
          </a:extLst>
        </xdr:cNvPr>
        <xdr:cNvCxnSpPr/>
      </xdr:nvCxnSpPr>
      <xdr:spPr>
        <a:xfrm>
          <a:off x="18876695" y="17088797"/>
          <a:ext cx="6350" cy="421409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115455</xdr:colOff>
      <xdr:row>96</xdr:row>
      <xdr:rowOff>141720</xdr:rowOff>
    </xdr:from>
    <xdr:to>
      <xdr:col>31</xdr:col>
      <xdr:colOff>369455</xdr:colOff>
      <xdr:row>96</xdr:row>
      <xdr:rowOff>173181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BA0CDFCA-64F7-4B35-8A66-05DD330BA07F}"/>
            </a:ext>
          </a:extLst>
        </xdr:cNvPr>
        <xdr:cNvCxnSpPr/>
      </xdr:nvCxnSpPr>
      <xdr:spPr>
        <a:xfrm flipH="1" flipV="1">
          <a:off x="14835910" y="19434175"/>
          <a:ext cx="5576454" cy="31461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133349</xdr:colOff>
      <xdr:row>109</xdr:row>
      <xdr:rowOff>14721</xdr:rowOff>
    </xdr:from>
    <xdr:to>
      <xdr:col>20</xdr:col>
      <xdr:colOff>16096</xdr:colOff>
      <xdr:row>132</xdr:row>
      <xdr:rowOff>15014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38FD7C7-0935-49A8-B879-049C687AC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5894" y="22008812"/>
          <a:ext cx="6577735" cy="4759164"/>
        </a:xfrm>
        <a:prstGeom prst="rect">
          <a:avLst/>
        </a:prstGeom>
      </xdr:spPr>
    </xdr:pic>
    <xdr:clientData/>
  </xdr:twoCellAnchor>
  <xdr:twoCellAnchor>
    <xdr:from>
      <xdr:col>11</xdr:col>
      <xdr:colOff>323273</xdr:colOff>
      <xdr:row>121</xdr:row>
      <xdr:rowOff>34636</xdr:rowOff>
    </xdr:from>
    <xdr:to>
      <xdr:col>20</xdr:col>
      <xdr:colOff>80818</xdr:colOff>
      <xdr:row>121</xdr:row>
      <xdr:rowOff>52532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239A3841-4D25-4978-AAFE-D8E55BF18621}"/>
            </a:ext>
          </a:extLst>
        </xdr:cNvPr>
        <xdr:cNvCxnSpPr/>
      </xdr:nvCxnSpPr>
      <xdr:spPr>
        <a:xfrm flipV="1">
          <a:off x="6199909" y="24522545"/>
          <a:ext cx="5818909" cy="17896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508000</xdr:colOff>
      <xdr:row>108</xdr:row>
      <xdr:rowOff>23091</xdr:rowOff>
    </xdr:from>
    <xdr:to>
      <xdr:col>13</xdr:col>
      <xdr:colOff>531091</xdr:colOff>
      <xdr:row>130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21A482B-AE08-477A-9AE9-4A42105C8BC9}"/>
            </a:ext>
          </a:extLst>
        </xdr:cNvPr>
        <xdr:cNvCxnSpPr/>
      </xdr:nvCxnSpPr>
      <xdr:spPr>
        <a:xfrm>
          <a:off x="7596909" y="21809364"/>
          <a:ext cx="23091" cy="4548909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280265</xdr:colOff>
      <xdr:row>108</xdr:row>
      <xdr:rowOff>196273</xdr:rowOff>
    </xdr:from>
    <xdr:to>
      <xdr:col>30</xdr:col>
      <xdr:colOff>759978</xdr:colOff>
      <xdr:row>128</xdr:row>
      <xdr:rowOff>20425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A64DCAAE-7F1A-4CAF-8015-5F15BE23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80629" y="21982546"/>
          <a:ext cx="6246091" cy="3980515"/>
        </a:xfrm>
        <a:prstGeom prst="rect">
          <a:avLst/>
        </a:prstGeom>
      </xdr:spPr>
    </xdr:pic>
    <xdr:clientData/>
  </xdr:twoCellAnchor>
  <xdr:twoCellAnchor>
    <xdr:from>
      <xdr:col>25</xdr:col>
      <xdr:colOff>161636</xdr:colOff>
      <xdr:row>109</xdr:row>
      <xdr:rowOff>23091</xdr:rowOff>
    </xdr:from>
    <xdr:to>
      <xdr:col>25</xdr:col>
      <xdr:colOff>311727</xdr:colOff>
      <xdr:row>129</xdr:row>
      <xdr:rowOff>173181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30FC3033-026A-405E-9BD8-18E1D731B46F}"/>
            </a:ext>
          </a:extLst>
        </xdr:cNvPr>
        <xdr:cNvCxnSpPr/>
      </xdr:nvCxnSpPr>
      <xdr:spPr>
        <a:xfrm>
          <a:off x="15528636" y="22017182"/>
          <a:ext cx="150091" cy="4306454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953076</xdr:colOff>
      <xdr:row>107</xdr:row>
      <xdr:rowOff>92363</xdr:rowOff>
    </xdr:from>
    <xdr:to>
      <xdr:col>29</xdr:col>
      <xdr:colOff>-1</xdr:colOff>
      <xdr:row>128</xdr:row>
      <xdr:rowOff>37812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CB9D2BDB-3C73-40F8-BE55-8A3417F1DE10}"/>
            </a:ext>
          </a:extLst>
        </xdr:cNvPr>
        <xdr:cNvCxnSpPr/>
      </xdr:nvCxnSpPr>
      <xdr:spPr>
        <a:xfrm flipH="1">
          <a:off x="18086531" y="21670818"/>
          <a:ext cx="16741" cy="430963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80818</xdr:colOff>
      <xdr:row>118</xdr:row>
      <xdr:rowOff>50936</xdr:rowOff>
    </xdr:from>
    <xdr:to>
      <xdr:col>30</xdr:col>
      <xdr:colOff>759979</xdr:colOff>
      <xdr:row>118</xdr:row>
      <xdr:rowOff>80054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B4227A02-D734-41CA-9B4B-86B304B0018F}"/>
            </a:ext>
          </a:extLst>
        </xdr:cNvPr>
        <xdr:cNvCxnSpPr/>
      </xdr:nvCxnSpPr>
      <xdr:spPr>
        <a:xfrm>
          <a:off x="14708230" y="23374112"/>
          <a:ext cx="5579867" cy="29118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239244</xdr:colOff>
      <xdr:row>38</xdr:row>
      <xdr:rowOff>19797</xdr:rowOff>
    </xdr:from>
    <xdr:to>
      <xdr:col>36</xdr:col>
      <xdr:colOff>892565</xdr:colOff>
      <xdr:row>57</xdr:row>
      <xdr:rowOff>1283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2380A04-752D-4098-BCF5-CEF473BEF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731068" y="7206503"/>
          <a:ext cx="5465500" cy="3813898"/>
        </a:xfrm>
        <a:prstGeom prst="rect">
          <a:avLst/>
        </a:prstGeom>
      </xdr:spPr>
    </xdr:pic>
    <xdr:clientData/>
  </xdr:twoCellAnchor>
  <xdr:twoCellAnchor>
    <xdr:from>
      <xdr:col>32</xdr:col>
      <xdr:colOff>754531</xdr:colOff>
      <xdr:row>38</xdr:row>
      <xdr:rowOff>52294</xdr:rowOff>
    </xdr:from>
    <xdr:to>
      <xdr:col>32</xdr:col>
      <xdr:colOff>832412</xdr:colOff>
      <xdr:row>55</xdr:row>
      <xdr:rowOff>122704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9C13574A-FCE5-4263-9870-08915EA8A954}"/>
            </a:ext>
          </a:extLst>
        </xdr:cNvPr>
        <xdr:cNvCxnSpPr/>
      </xdr:nvCxnSpPr>
      <xdr:spPr>
        <a:xfrm>
          <a:off x="22210060" y="7239000"/>
          <a:ext cx="77881" cy="349941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720351</xdr:colOff>
      <xdr:row>45</xdr:row>
      <xdr:rowOff>22412</xdr:rowOff>
    </xdr:from>
    <xdr:to>
      <xdr:col>34</xdr:col>
      <xdr:colOff>82177</xdr:colOff>
      <xdr:row>45</xdr:row>
      <xdr:rowOff>59765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3D6D8EF6-1156-49FF-A46A-7C6E8E5A2AA1}"/>
            </a:ext>
          </a:extLst>
        </xdr:cNvPr>
        <xdr:cNvCxnSpPr/>
      </xdr:nvCxnSpPr>
      <xdr:spPr>
        <a:xfrm flipH="1">
          <a:off x="21212175" y="8621059"/>
          <a:ext cx="2252943" cy="3735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AE5E-7E87-44BB-BEBA-8066BC738BBC}">
  <sheetPr>
    <outlinePr summaryBelow="0" summaryRight="0"/>
  </sheetPr>
  <dimension ref="A1:AD96"/>
  <sheetViews>
    <sheetView topLeftCell="B1" zoomScaleNormal="100" workbookViewId="0">
      <selection activeCell="T12" sqref="T12"/>
    </sheetView>
  </sheetViews>
  <sheetFormatPr defaultColWidth="14.42578125" defaultRowHeight="15.75" customHeight="1"/>
  <cols>
    <col min="1" max="1" width="6.5703125" customWidth="1"/>
    <col min="2" max="2" width="6" bestFit="1" customWidth="1"/>
    <col min="3" max="6" width="9" customWidth="1"/>
    <col min="7" max="7" width="13.5703125" customWidth="1"/>
    <col min="8" max="8" width="7.5703125" customWidth="1"/>
    <col min="9" max="9" width="12.85546875" bestFit="1" customWidth="1"/>
    <col min="10" max="10" width="6" customWidth="1"/>
    <col min="11" max="11" width="9.5703125" customWidth="1"/>
    <col min="12" max="12" width="9.42578125" customWidth="1"/>
    <col min="13" max="13" width="8.85546875" customWidth="1"/>
    <col min="14" max="14" width="8.28515625" customWidth="1"/>
    <col min="15" max="15" width="13.140625" bestFit="1" customWidth="1"/>
    <col min="16" max="16" width="11.7109375" customWidth="1"/>
    <col min="17" max="17" width="6.28515625" customWidth="1"/>
    <col min="18" max="18" width="9.5703125" customWidth="1"/>
    <col min="19" max="19" width="10.85546875" customWidth="1"/>
    <col min="20" max="20" width="12.5703125" customWidth="1"/>
    <col min="21" max="21" width="15.140625" bestFit="1" customWidth="1"/>
    <col min="22" max="23" width="12.85546875" bestFit="1" customWidth="1"/>
    <col min="24" max="24" width="8.42578125" customWidth="1"/>
    <col min="25" max="25" width="9.5703125" bestFit="1" customWidth="1"/>
    <col min="26" max="27" width="8" customWidth="1"/>
    <col min="28" max="28" width="10.5703125" customWidth="1"/>
  </cols>
  <sheetData>
    <row r="1" spans="1:30" ht="15.75" customHeight="1" thickBot="1">
      <c r="B1" s="153" t="s">
        <v>0</v>
      </c>
      <c r="C1" s="154"/>
      <c r="H1" s="1" t="s">
        <v>1</v>
      </c>
      <c r="K1" s="114"/>
    </row>
    <row r="2" spans="1:30" ht="15.75" customHeight="1" thickBot="1">
      <c r="B2" s="155" t="s">
        <v>2</v>
      </c>
      <c r="C2" s="135">
        <v>50</v>
      </c>
      <c r="D2" s="114" t="s">
        <v>62</v>
      </c>
      <c r="E2" s="134" t="s">
        <v>66</v>
      </c>
      <c r="F2" s="135">
        <v>3.5</v>
      </c>
      <c r="H2" s="2" t="s">
        <v>22</v>
      </c>
      <c r="I2" s="3">
        <f>+C3/(1+(F5-1)*O6^2/2)</f>
        <v>285.71428571428572</v>
      </c>
      <c r="J2" t="s">
        <v>64</v>
      </c>
      <c r="K2" s="2" t="s">
        <v>25</v>
      </c>
      <c r="L2" s="3">
        <f>+C5/O2*O3</f>
        <v>292.51068356557511</v>
      </c>
      <c r="N2" s="2" t="s">
        <v>77</v>
      </c>
      <c r="O2" s="3">
        <f>+SQRT(L3/PI()/(1-C6^2))</f>
        <v>0.3691982479664605</v>
      </c>
      <c r="P2" s="114" t="s">
        <v>84</v>
      </c>
      <c r="Q2" s="161" t="s">
        <v>87</v>
      </c>
      <c r="R2" s="4">
        <f>0.95*L2^2/F4*(1-V3/L2*(TAN(O7*PI()/180)+TAN(C7*PI()/180)))</f>
        <v>30.357053307362239</v>
      </c>
      <c r="T2" s="5" t="s">
        <v>3</v>
      </c>
      <c r="X2" s="114" t="s">
        <v>5</v>
      </c>
      <c r="Y2">
        <v>8.3144720000000003</v>
      </c>
      <c r="Z2" s="114" t="s">
        <v>65</v>
      </c>
    </row>
    <row r="3" spans="1:30" ht="15.75" customHeight="1" thickBot="1">
      <c r="B3" s="136" t="s">
        <v>19</v>
      </c>
      <c r="C3" s="137">
        <v>300</v>
      </c>
      <c r="D3" s="114" t="s">
        <v>64</v>
      </c>
      <c r="E3" s="136" t="s">
        <v>82</v>
      </c>
      <c r="F3" s="137">
        <v>0.9</v>
      </c>
      <c r="H3" s="6" t="s">
        <v>23</v>
      </c>
      <c r="I3" s="7">
        <f>+C4/(1+(F5-1)*O6^2/2)^(F6)</f>
        <v>85.144936717677865</v>
      </c>
      <c r="J3" s="114" t="s">
        <v>63</v>
      </c>
      <c r="K3" s="8" t="s">
        <v>4</v>
      </c>
      <c r="L3" s="9">
        <f>C2/I4/V3</f>
        <v>0.32116661832834381</v>
      </c>
      <c r="M3" s="162" t="s">
        <v>83</v>
      </c>
      <c r="N3" s="6" t="s">
        <v>78</v>
      </c>
      <c r="O3" s="7">
        <f>+SQRT((O2^2+O4^2)/2)</f>
        <v>0.29187684292941096</v>
      </c>
      <c r="P3" s="162" t="s">
        <v>84</v>
      </c>
      <c r="Q3" s="10" t="s">
        <v>86</v>
      </c>
      <c r="R3" s="11">
        <f>+C3/F3*(F2^(1/F6)-1)</f>
        <v>143.45624930879518</v>
      </c>
      <c r="T3" s="2" t="s">
        <v>80</v>
      </c>
      <c r="U3" s="12"/>
      <c r="V3" s="3">
        <f>+O6*SQRT(F5*I2*F7)*0.9</f>
        <v>155.05018360056343</v>
      </c>
      <c r="X3" s="114" t="s">
        <v>69</v>
      </c>
      <c r="Y3">
        <v>28.013999999999999</v>
      </c>
      <c r="Z3" s="114" t="s">
        <v>72</v>
      </c>
    </row>
    <row r="4" spans="1:30" ht="15.75" customHeight="1" thickBot="1">
      <c r="B4" s="136" t="s">
        <v>68</v>
      </c>
      <c r="C4" s="137">
        <v>101</v>
      </c>
      <c r="D4" s="114" t="s">
        <v>63</v>
      </c>
      <c r="E4" s="136" t="s">
        <v>21</v>
      </c>
      <c r="F4" s="137">
        <v>1038.73</v>
      </c>
      <c r="G4" s="133" t="s">
        <v>81</v>
      </c>
      <c r="H4" s="13" t="s">
        <v>24</v>
      </c>
      <c r="I4" s="7">
        <f>+C8/(1+(F5-1)/2*O6^2)^(F6/F5)</f>
        <v>1.0040776973248087</v>
      </c>
      <c r="N4" s="8" t="s">
        <v>79</v>
      </c>
      <c r="O4" s="9">
        <f>+O2*C6</f>
        <v>0.18459912398323025</v>
      </c>
      <c r="P4" s="114" t="s">
        <v>84</v>
      </c>
      <c r="Q4" s="14" t="s">
        <v>5</v>
      </c>
      <c r="R4" s="15">
        <v>0.5</v>
      </c>
      <c r="T4" s="6" t="s">
        <v>34</v>
      </c>
      <c r="U4" s="16"/>
      <c r="V4" s="7">
        <f>+V3/COS(R6*PI()/180)</f>
        <v>255.43390795342955</v>
      </c>
      <c r="X4" s="114" t="s">
        <v>88</v>
      </c>
      <c r="Y4">
        <v>3.6749999999999998</v>
      </c>
    </row>
    <row r="5" spans="1:30" ht="15.75" customHeight="1" thickBot="1">
      <c r="B5" s="136" t="s">
        <v>75</v>
      </c>
      <c r="C5" s="137">
        <f>370</f>
        <v>370</v>
      </c>
      <c r="D5" s="160" t="s">
        <v>74</v>
      </c>
      <c r="E5" s="136" t="s">
        <v>6</v>
      </c>
      <c r="F5" s="138">
        <v>1.4</v>
      </c>
      <c r="H5" s="8" t="s">
        <v>73</v>
      </c>
      <c r="I5" s="9">
        <f>+(F2^(1/F6)-1)/(F2^(1/F6/F3)-1)</f>
        <v>0.88117871150720328</v>
      </c>
      <c r="K5" s="17" t="s">
        <v>61</v>
      </c>
      <c r="L5" s="18">
        <f>+V3/L2</f>
        <v>0.53006673708655927</v>
      </c>
      <c r="T5" s="6" t="s">
        <v>35</v>
      </c>
      <c r="U5" s="16"/>
      <c r="V5" s="7">
        <f>+V3/COS(O7*PI()/180)</f>
        <v>179.03653047937237</v>
      </c>
      <c r="X5" s="114" t="s">
        <v>89</v>
      </c>
      <c r="Y5" s="174">
        <v>-1.8779999999999999E-3</v>
      </c>
      <c r="AD5" t="s">
        <v>102</v>
      </c>
    </row>
    <row r="6" spans="1:30" ht="15.75" customHeight="1" thickBot="1">
      <c r="B6" s="136" t="s">
        <v>76</v>
      </c>
      <c r="C6" s="137">
        <v>0.5</v>
      </c>
      <c r="E6" s="136" t="s">
        <v>7</v>
      </c>
      <c r="F6" s="139">
        <f>+F5/(F5-1)</f>
        <v>3.5000000000000004</v>
      </c>
      <c r="N6" s="131" t="s">
        <v>8</v>
      </c>
      <c r="O6" s="132">
        <v>0.5</v>
      </c>
      <c r="Q6" s="19" t="s">
        <v>47</v>
      </c>
      <c r="R6" s="20">
        <f>+ATAN((L2-V6*SIN(C7*PI()/180))/V3)*180/PI()</f>
        <v>52.626593415492948</v>
      </c>
      <c r="T6" s="6" t="s">
        <v>32</v>
      </c>
      <c r="U6" s="16"/>
      <c r="V6" s="7">
        <f>+V3/COS(C7*PI()/180)</f>
        <v>179.03653047937237</v>
      </c>
      <c r="X6" s="114" t="s">
        <v>90</v>
      </c>
      <c r="Y6" s="174">
        <v>2.3240000000000001E-6</v>
      </c>
      <c r="AD6" s="174">
        <f ca="1">((G16-G11)/G11)*100</f>
        <v>-2.2120981526664978</v>
      </c>
    </row>
    <row r="7" spans="1:30" ht="15.75" customHeight="1" thickBot="1">
      <c r="B7" s="157" t="s">
        <v>20</v>
      </c>
      <c r="C7" s="158">
        <v>30</v>
      </c>
      <c r="E7" s="140" t="s">
        <v>9</v>
      </c>
      <c r="F7" s="141">
        <f>+Y2/Y3*1000</f>
        <v>296.79703005640039</v>
      </c>
      <c r="G7" s="114" t="s">
        <v>81</v>
      </c>
      <c r="H7" s="194" t="s">
        <v>10</v>
      </c>
      <c r="I7" s="195"/>
      <c r="J7" s="195"/>
      <c r="K7" s="196"/>
      <c r="L7" s="21">
        <f>+R3/R2</f>
        <v>4.7256315643127307</v>
      </c>
      <c r="N7" s="131" t="s">
        <v>85</v>
      </c>
      <c r="O7" s="132">
        <f>+C7</f>
        <v>30</v>
      </c>
      <c r="Q7" s="19" t="s">
        <v>48</v>
      </c>
      <c r="R7" s="20">
        <f>+ATAN((L2-V5*SIN(O7*PI()/180))/V3)*180/PI()</f>
        <v>52.626593415492948</v>
      </c>
      <c r="T7" s="8" t="s">
        <v>33</v>
      </c>
      <c r="U7" s="22"/>
      <c r="V7" s="9">
        <f>+V3/COS(R7*PI()/180)</f>
        <v>255.43390795342955</v>
      </c>
      <c r="X7" s="114" t="s">
        <v>91</v>
      </c>
      <c r="Y7" s="174">
        <v>-6.2000000000000003E-10</v>
      </c>
    </row>
    <row r="8" spans="1:30" ht="15.75" customHeight="1" thickBot="1">
      <c r="B8" s="159" t="s">
        <v>70</v>
      </c>
      <c r="C8" s="156">
        <f>+C4*1000/(F7*C3)</f>
        <v>1.1343330039478152</v>
      </c>
      <c r="D8" s="114" t="s">
        <v>71</v>
      </c>
      <c r="E8" s="133" t="s">
        <v>67</v>
      </c>
      <c r="X8" s="114" t="s">
        <v>92</v>
      </c>
      <c r="Y8" s="174">
        <v>-2.26E-13</v>
      </c>
    </row>
    <row r="9" spans="1:30" ht="15.75" customHeight="1" thickBot="1">
      <c r="E9" s="133"/>
    </row>
    <row r="10" spans="1:30" ht="16.5" thickBot="1">
      <c r="B10" s="23"/>
      <c r="C10" s="102" t="s">
        <v>28</v>
      </c>
      <c r="D10" s="142" t="s">
        <v>29</v>
      </c>
      <c r="E10" s="145" t="s">
        <v>30</v>
      </c>
      <c r="F10" s="146" t="s">
        <v>31</v>
      </c>
      <c r="G10" s="103" t="s">
        <v>93</v>
      </c>
      <c r="H10" s="170" t="s">
        <v>32</v>
      </c>
      <c r="I10" s="178" t="s">
        <v>33</v>
      </c>
      <c r="J10" s="104" t="s">
        <v>34</v>
      </c>
      <c r="K10" s="164" t="s">
        <v>35</v>
      </c>
      <c r="L10" s="170" t="s">
        <v>36</v>
      </c>
      <c r="M10" s="167" t="s">
        <v>37</v>
      </c>
      <c r="N10" s="106" t="s">
        <v>38</v>
      </c>
      <c r="O10" s="107" t="s">
        <v>39</v>
      </c>
      <c r="P10" s="115" t="s">
        <v>40</v>
      </c>
      <c r="Q10" s="105" t="s">
        <v>11</v>
      </c>
      <c r="R10" s="104" t="s">
        <v>41</v>
      </c>
      <c r="S10" s="105" t="s">
        <v>42</v>
      </c>
      <c r="T10" s="104" t="s">
        <v>43</v>
      </c>
      <c r="U10" s="104"/>
      <c r="V10" s="105" t="s">
        <v>43</v>
      </c>
      <c r="W10" s="108" t="s">
        <v>44</v>
      </c>
      <c r="X10" s="109" t="s">
        <v>45</v>
      </c>
      <c r="Y10" s="110" t="s">
        <v>5</v>
      </c>
      <c r="Z10" s="111" t="s">
        <v>46</v>
      </c>
      <c r="AA10" s="112" t="s">
        <v>50</v>
      </c>
      <c r="AB10" s="113" t="s">
        <v>49</v>
      </c>
    </row>
    <row r="11" spans="1:30" ht="15" thickBot="1">
      <c r="A11" s="26">
        <v>1</v>
      </c>
      <c r="B11" s="27">
        <v>1</v>
      </c>
      <c r="C11" s="28">
        <f>+C7</f>
        <v>30</v>
      </c>
      <c r="D11" s="143">
        <f>+ATAN((L2-V6*SIN(C7*PI()/180))/V3)*180/PI()</f>
        <v>52.626593415492948</v>
      </c>
      <c r="E11" s="147">
        <f>+C11</f>
        <v>30</v>
      </c>
      <c r="F11" s="148">
        <f>D11</f>
        <v>52.626593415492948</v>
      </c>
      <c r="G11" s="175" cm="1">
        <f t="array" aca="1" ref="G11" ca="1">+($Y$4+$Y$5*T11+$Y$6*T11^{2}+$Y$7*T11^{3}+$Y$8*T11^{4})*F$7</f>
        <v>983.47746439071625</v>
      </c>
      <c r="H11" s="179">
        <f>+V3/COS(C7*PI()/180)</f>
        <v>179.03653047937237</v>
      </c>
      <c r="I11" s="180">
        <f>+V3/COS(R7*PI()/180)</f>
        <v>255.43390795342955</v>
      </c>
      <c r="J11" s="41">
        <f>+V3/COS(R6*PI()/180)</f>
        <v>255.43390795342955</v>
      </c>
      <c r="K11" s="7">
        <f>+V3/COS(O7*PI()/180)</f>
        <v>179.03653047937237</v>
      </c>
      <c r="L11" s="172">
        <f>0.95-0.1/($B$23-1)*(SUM($B$11:B11)-1)</f>
        <v>0.95</v>
      </c>
      <c r="M11" s="177">
        <f>0.95*L2^2/F4*(1-V3/L2*(TAN(O7*PI()/180)+TAN(C7*PI()/180)))</f>
        <v>30.357053307362239</v>
      </c>
      <c r="N11" s="30">
        <f>C3</f>
        <v>300</v>
      </c>
      <c r="O11" s="31">
        <f>C4</f>
        <v>101</v>
      </c>
      <c r="P11" s="116">
        <f>(1+$F$3*M11/N11)^($F$6)</f>
        <v>1.3567060668378395</v>
      </c>
      <c r="Q11" s="32">
        <v>1</v>
      </c>
      <c r="R11" s="181">
        <f ca="1">J11/(SQRT($F$5*$F$7*$T$11))</f>
        <v>0.74396456639893593</v>
      </c>
      <c r="S11" s="182">
        <f ca="1">H11/(SQRT($F$5*$F$7*$T$11))</f>
        <v>0.5214532237902435</v>
      </c>
      <c r="T11" s="176" cm="1">
        <f t="array" aca="1" ref="T11" ca="1">N11-(H11^{2}/(G11*2))</f>
        <v>283.70370425012771</v>
      </c>
      <c r="U11" s="33"/>
      <c r="V11" s="34">
        <f>+C3/(1+($F$5-1)*O6^2/2)</f>
        <v>285.71428571428572</v>
      </c>
      <c r="W11" s="125">
        <f>+C4/(1+(F5-1)*O6^2/2)^(F6)</f>
        <v>85.144936717677865</v>
      </c>
      <c r="X11" s="126">
        <f>W11/($F$7*V11)*1000</f>
        <v>1.0040776973248084</v>
      </c>
      <c r="Y11" s="94">
        <f>0.5-(L5*(0.5*(TAN(C11*PI()/180)-TAN(E11*PI()/180))))</f>
        <v>0.5</v>
      </c>
      <c r="Z11" s="95" cm="1">
        <f t="array" ref="Z11">1-(K11/J11)^{2}</f>
        <v>0.50872325079401692</v>
      </c>
      <c r="AA11" s="96" cm="1">
        <f t="array" ref="AA11">1-(H11/I11)^{2}</f>
        <v>0.50872325079401692</v>
      </c>
      <c r="AB11" s="91"/>
    </row>
    <row r="12" spans="1:30" ht="15" thickBot="1">
      <c r="A12" s="26">
        <v>2</v>
      </c>
      <c r="B12" s="35">
        <v>1</v>
      </c>
      <c r="C12" s="28">
        <v>30</v>
      </c>
      <c r="D12" s="143">
        <f>ATAN(($L$2-H11*SIN(C12*PI()/180))/$V$3)*180/PI()</f>
        <v>52.626593415492948</v>
      </c>
      <c r="E12" s="149">
        <f>C12</f>
        <v>30</v>
      </c>
      <c r="F12" s="150">
        <f>D12</f>
        <v>52.626593415492948</v>
      </c>
      <c r="G12" s="175" cm="1">
        <f t="array" aca="1" ref="G12" ca="1">+($Y$4+$Y$5*T12+$Y$6*T12^{2}+$Y$7*T12^{3}+$Y$8*T12^{4})*F$7</f>
        <v>977.3761446108573</v>
      </c>
      <c r="H12" s="29">
        <f>$V$3/COS(C12*PI()/180)</f>
        <v>179.03653047937237</v>
      </c>
      <c r="I12" s="29">
        <f>$V$3/COS(D12*PI()/180)</f>
        <v>255.43390795342955</v>
      </c>
      <c r="J12" s="39">
        <f>+$V$3/COS($F$12*PI()/180)</f>
        <v>255.43390795342955</v>
      </c>
      <c r="K12" s="165">
        <f>+$V$3/COS($E$12*PI()/180)</f>
        <v>179.03653047937237</v>
      </c>
      <c r="L12" s="171">
        <f>0.95-0.1/($B$23-1)*(SUM($B$11:B12)-1)</f>
        <v>0.92999999999999994</v>
      </c>
      <c r="M12" s="177">
        <f>L12*$L$2^2/$F$4*(1-$V$3/$L$2*(TAN(E12*PI()/180)+TAN(C12*PI()/180)))</f>
        <v>29.717957448259877</v>
      </c>
      <c r="N12" s="40">
        <f>N11+M11</f>
        <v>330.35705330736226</v>
      </c>
      <c r="O12" s="7">
        <f>O11*P11</f>
        <v>137.02731275062177</v>
      </c>
      <c r="P12" s="116">
        <f t="shared" ref="P12:P16" si="0">(1+$F$3*M12/N12)^($F$6)</f>
        <v>1.3132143438805013</v>
      </c>
      <c r="Q12" s="41">
        <v>1</v>
      </c>
      <c r="R12" s="181">
        <f t="shared" ref="R12:R16" ca="1" si="1">J12/(SQRT($F$5*$F$7*$T$11))</f>
        <v>0.74396456639893593</v>
      </c>
      <c r="S12" s="182">
        <f t="shared" ref="S12:S16" ca="1" si="2">H12/(SQRT($F$5*$F$7*$T$11))</f>
        <v>0.5214532237902435</v>
      </c>
      <c r="T12" s="183" cm="1">
        <f t="array" aca="1" ref="T12" ca="1">+N12-(H12^{2}/(G12*2))</f>
        <v>313.95902711098239</v>
      </c>
      <c r="U12" s="42"/>
      <c r="V12" s="185">
        <f ca="1">+N12/(1+($F$5-1)*S12^2/2)</f>
        <v>313.31797792734648</v>
      </c>
      <c r="W12" s="184">
        <f ca="1">+O12/(1+($F$5-1)*S12^2/2)^($F$6)</f>
        <v>113.84480057858644</v>
      </c>
      <c r="X12" s="126">
        <f t="shared" ref="X12:X16" ca="1" si="3">W12/($F$7*V12)*1000</f>
        <v>1.2242449883264857</v>
      </c>
      <c r="Y12" s="94">
        <f t="shared" ref="Y12:Y15" si="4">0.5-(L6*(0.5*(TAN(C12*PI()/180)-TAN(E12*PI()/180))))</f>
        <v>0.5</v>
      </c>
      <c r="Z12" s="95" cm="1">
        <f t="array" ref="Z12">1-(K12/J12)^{2}</f>
        <v>0.50872325079401692</v>
      </c>
      <c r="AA12" s="96" cm="1">
        <f t="array" ref="AA12">1-(H12/I12)^{2}</f>
        <v>0.50872325079401692</v>
      </c>
      <c r="AB12" s="92"/>
    </row>
    <row r="13" spans="1:30" ht="15" thickBot="1">
      <c r="A13" s="26">
        <v>3</v>
      </c>
      <c r="B13" s="35">
        <v>1</v>
      </c>
      <c r="C13" s="28">
        <v>30</v>
      </c>
      <c r="D13" s="143">
        <f t="shared" ref="D13:D16" si="5">ATAN(($L$2-H12*SIN(C13*PI()/180))/$V$3)*180/PI()</f>
        <v>52.626593415492948</v>
      </c>
      <c r="E13" s="149">
        <f t="shared" ref="E13:F16" si="6">C13</f>
        <v>30</v>
      </c>
      <c r="F13" s="150">
        <f t="shared" si="6"/>
        <v>52.626593415492948</v>
      </c>
      <c r="G13" s="175" cm="1">
        <f t="array" aca="1" ref="G13" ca="1">+($Y$4+$Y$5*T13+$Y$6*T13^{2}+$Y$7*T13^{3}+$Y$8*T13^{4})*F$7</f>
        <v>972.24686526689038</v>
      </c>
      <c r="H13" s="29">
        <f t="shared" ref="H13:I16" si="7">$V$3/COS(C13*PI()/180)</f>
        <v>179.03653047937237</v>
      </c>
      <c r="I13" s="29">
        <f t="shared" si="7"/>
        <v>255.43390795342955</v>
      </c>
      <c r="J13" s="39">
        <f t="shared" ref="J13:J15" si="8">+$V$3/COS($F$12*PI()/180)</f>
        <v>255.43390795342955</v>
      </c>
      <c r="K13" s="165">
        <f t="shared" ref="K13:K15" si="9">+$V$3/COS($E$12*PI()/180)</f>
        <v>179.03653047937237</v>
      </c>
      <c r="L13" s="171">
        <f>0.95-0.1/($B$23-1)*(SUM($B$11:B13)-1)</f>
        <v>0.90999999999999992</v>
      </c>
      <c r="M13" s="177">
        <f t="shared" ref="M13:M16" si="10">L13*$L$2^2/$F$4*(1-$V$3/$L$2*(TAN(E13*PI()/180)+TAN(C13*PI()/180)))</f>
        <v>29.078861589157505</v>
      </c>
      <c r="N13" s="40">
        <f t="shared" ref="N13:N16" si="11">N12+M12</f>
        <v>360.07501075562215</v>
      </c>
      <c r="O13" s="7">
        <f t="shared" ref="O13:O16" si="12">O12*P12</f>
        <v>179.94623260751601</v>
      </c>
      <c r="P13" s="116">
        <f t="shared" si="0"/>
        <v>1.2783462137899846</v>
      </c>
      <c r="Q13" s="41">
        <v>1</v>
      </c>
      <c r="R13" s="181">
        <f t="shared" ca="1" si="1"/>
        <v>0.74396456639893593</v>
      </c>
      <c r="S13" s="182">
        <f t="shared" ca="1" si="2"/>
        <v>0.5214532237902435</v>
      </c>
      <c r="T13" s="183" cm="1">
        <f t="array" aca="1" ref="T13" ca="1">+N13-(H13^{2}/(G13*2))</f>
        <v>343.59047355051007</v>
      </c>
      <c r="U13" s="42"/>
      <c r="V13" s="185">
        <f t="shared" ref="V13:V16" ca="1" si="13">+N13/(1+($F$5-1)*S13^2/2)</f>
        <v>341.50314982726849</v>
      </c>
      <c r="W13" s="184">
        <f t="shared" ref="W13:W15" ca="1" si="14">+O13/(1+($F$5-1)*S13^2/2)^($F$6)</f>
        <v>149.5026250960149</v>
      </c>
      <c r="X13" s="126">
        <f t="shared" ca="1" si="3"/>
        <v>1.4750086049814921</v>
      </c>
      <c r="Y13" s="94">
        <f t="shared" si="4"/>
        <v>0.5</v>
      </c>
      <c r="Z13" s="95" cm="1">
        <f t="array" ref="Z13">1-(K13/J13)^{2}</f>
        <v>0.50872325079401692</v>
      </c>
      <c r="AA13" s="96" cm="1">
        <f t="array" ref="AA13">1-(H13/I13)^{2}</f>
        <v>0.50872325079401692</v>
      </c>
      <c r="AB13" s="92"/>
    </row>
    <row r="14" spans="1:30" ht="15" thickBot="1">
      <c r="A14" s="26">
        <v>4</v>
      </c>
      <c r="B14" s="35">
        <v>1</v>
      </c>
      <c r="C14" s="28">
        <v>30</v>
      </c>
      <c r="D14" s="143">
        <f t="shared" si="5"/>
        <v>52.626593415492948</v>
      </c>
      <c r="E14" s="149">
        <f t="shared" si="6"/>
        <v>30</v>
      </c>
      <c r="F14" s="150">
        <f t="shared" si="6"/>
        <v>52.626593415492948</v>
      </c>
      <c r="G14" s="175" cm="1">
        <f t="array" aca="1" ref="G14" ca="1">+($Y$4+$Y$5*T14+$Y$6*T14^{2}+$Y$7*T14^{3}+$Y$8*T14^{4})*F$7</f>
        <v>967.99573022551499</v>
      </c>
      <c r="H14" s="29">
        <f t="shared" si="7"/>
        <v>179.03653047937237</v>
      </c>
      <c r="I14" s="29">
        <f t="shared" si="7"/>
        <v>255.43390795342955</v>
      </c>
      <c r="J14" s="39">
        <f t="shared" si="8"/>
        <v>255.43390795342955</v>
      </c>
      <c r="K14" s="165">
        <f t="shared" si="9"/>
        <v>179.03653047937237</v>
      </c>
      <c r="L14" s="171">
        <f>0.95-0.1/($B$23-1)*(SUM($B$11:B14)-1)</f>
        <v>0.8899999999999999</v>
      </c>
      <c r="M14" s="177">
        <f t="shared" si="10"/>
        <v>28.439765730055147</v>
      </c>
      <c r="N14" s="40">
        <f t="shared" si="11"/>
        <v>389.15387234477964</v>
      </c>
      <c r="O14" s="7">
        <f t="shared" si="12"/>
        <v>230.03358513958995</v>
      </c>
      <c r="P14" s="116">
        <f t="shared" si="0"/>
        <v>1.2497593474716975</v>
      </c>
      <c r="Q14" s="41">
        <v>1</v>
      </c>
      <c r="R14" s="181">
        <f t="shared" ca="1" si="1"/>
        <v>0.74396456639893593</v>
      </c>
      <c r="S14" s="182">
        <f t="shared" ca="1" si="2"/>
        <v>0.5214532237902435</v>
      </c>
      <c r="T14" s="183" cm="1">
        <f t="array" aca="1" ref="T14" ca="1">+N14-(H14^{2}/(G14*2))</f>
        <v>372.59694019869283</v>
      </c>
      <c r="U14" s="42"/>
      <c r="V14" s="185">
        <f t="shared" ca="1" si="13"/>
        <v>369.08218899815995</v>
      </c>
      <c r="W14" s="184">
        <f t="shared" ca="1" si="14"/>
        <v>191.11611474315416</v>
      </c>
      <c r="X14" s="126">
        <f t="shared" ca="1" si="3"/>
        <v>1.7446755280614157</v>
      </c>
      <c r="Y14" s="94">
        <f t="shared" si="4"/>
        <v>0.5</v>
      </c>
      <c r="Z14" s="95" cm="1">
        <f t="array" ref="Z14">1-(K14/J14)^{2}</f>
        <v>0.50872325079401692</v>
      </c>
      <c r="AA14" s="96" cm="1">
        <f t="array" ref="AA14">1-(H14/I14)^{2}</f>
        <v>0.50872325079401692</v>
      </c>
      <c r="AB14" s="92"/>
    </row>
    <row r="15" spans="1:30" ht="15" thickBot="1">
      <c r="A15" s="26">
        <v>5</v>
      </c>
      <c r="B15" s="35">
        <v>1</v>
      </c>
      <c r="C15" s="28">
        <v>30</v>
      </c>
      <c r="D15" s="143">
        <f t="shared" si="5"/>
        <v>52.626593415492948</v>
      </c>
      <c r="E15" s="149">
        <f t="shared" si="6"/>
        <v>30</v>
      </c>
      <c r="F15" s="150">
        <f t="shared" si="6"/>
        <v>52.626593415492948</v>
      </c>
      <c r="G15" s="175" cm="1">
        <f t="array" aca="1" ref="G15" ca="1">+($Y$4+$Y$5*T15+$Y$6*T15^{2}+$Y$7*T15^{3}+$Y$8*T15^{4})*F$7</f>
        <v>964.53394061480344</v>
      </c>
      <c r="H15" s="29">
        <f t="shared" si="7"/>
        <v>179.03653047937237</v>
      </c>
      <c r="I15" s="29">
        <f t="shared" si="7"/>
        <v>255.43390795342955</v>
      </c>
      <c r="J15" s="39">
        <f t="shared" si="8"/>
        <v>255.43390795342955</v>
      </c>
      <c r="K15" s="165">
        <f t="shared" si="9"/>
        <v>179.03653047937237</v>
      </c>
      <c r="L15" s="171">
        <f>0.95-0.1/($B$23-1)*(SUM($B$11:B15)-1)</f>
        <v>0.87</v>
      </c>
      <c r="M15" s="177">
        <f t="shared" si="10"/>
        <v>27.800669870952788</v>
      </c>
      <c r="N15" s="40">
        <f t="shared" si="11"/>
        <v>417.59363807483481</v>
      </c>
      <c r="O15" s="7">
        <f t="shared" si="12"/>
        <v>287.48662326062907</v>
      </c>
      <c r="P15" s="116">
        <f t="shared" si="0"/>
        <v>1.2258865578104619</v>
      </c>
      <c r="Q15" s="41">
        <v>1</v>
      </c>
      <c r="R15" s="181">
        <f t="shared" ca="1" si="1"/>
        <v>0.74396456639893593</v>
      </c>
      <c r="S15" s="182">
        <f t="shared" ca="1" si="2"/>
        <v>0.5214532237902435</v>
      </c>
      <c r="T15" s="183" cm="1">
        <f t="array" aca="1" ref="T15" ca="1">+N15-(H15^{2}/(G15*2))</f>
        <v>400.97728177240151</v>
      </c>
      <c r="U15" s="42"/>
      <c r="V15" s="185">
        <f t="shared" ca="1" si="13"/>
        <v>396.05509544002081</v>
      </c>
      <c r="W15" s="184">
        <f t="shared" ca="1" si="14"/>
        <v>238.84915085273039</v>
      </c>
      <c r="X15" s="126">
        <f t="shared" ca="1" si="3"/>
        <v>2.0319290799191689</v>
      </c>
      <c r="Y15" s="94">
        <f t="shared" si="4"/>
        <v>0.5</v>
      </c>
      <c r="Z15" s="95" cm="1">
        <f t="array" ref="Z15">1-(K15/J15)^{2}</f>
        <v>0.50872325079401692</v>
      </c>
      <c r="AA15" s="96" cm="1">
        <f t="array" ref="AA15">1-(H15/I15)^{2}</f>
        <v>0.50872325079401692</v>
      </c>
      <c r="AB15" s="92"/>
    </row>
    <row r="16" spans="1:30" ht="15" thickBot="1">
      <c r="A16" s="26">
        <v>6</v>
      </c>
      <c r="B16" s="35">
        <v>1</v>
      </c>
      <c r="C16" s="28">
        <v>28</v>
      </c>
      <c r="D16" s="143">
        <f t="shared" si="5"/>
        <v>53.35830086620733</v>
      </c>
      <c r="E16" s="149">
        <f t="shared" si="6"/>
        <v>28</v>
      </c>
      <c r="F16" s="150">
        <f t="shared" si="6"/>
        <v>53.35830086620733</v>
      </c>
      <c r="G16" s="175" cm="1">
        <f t="array" aca="1" ref="G16" ca="1">+($Y$4+$Y$5*T16+$Y$6*T16^{2}+$Y$7*T16^{3}+$Y$8*T16^{4})*F$7</f>
        <v>961.7219775690379</v>
      </c>
      <c r="H16" s="29">
        <f t="shared" si="7"/>
        <v>175.60519429983495</v>
      </c>
      <c r="I16" s="29">
        <f t="shared" si="7"/>
        <v>259.79866977169934</v>
      </c>
      <c r="J16" s="39">
        <f>+$V$3/COS(F16*PI()/180)</f>
        <v>259.79866977169934</v>
      </c>
      <c r="K16" s="165">
        <f>+$V$3/COS(E16*PI()/180)</f>
        <v>175.60519429983495</v>
      </c>
      <c r="L16" s="171">
        <f>0.95-0.1/($B$23-1)*(SUM($B$11:B16)-1)</f>
        <v>0.85</v>
      </c>
      <c r="M16" s="177">
        <f t="shared" si="10"/>
        <v>30.549343633953853</v>
      </c>
      <c r="N16" s="40">
        <f t="shared" si="11"/>
        <v>445.3943079457876</v>
      </c>
      <c r="O16" s="7">
        <f t="shared" si="12"/>
        <v>352.42598700552566</v>
      </c>
      <c r="P16" s="116">
        <f t="shared" si="0"/>
        <v>1.2332468469885765</v>
      </c>
      <c r="Q16" s="41">
        <v>1</v>
      </c>
      <c r="R16" s="181">
        <f t="shared" ca="1" si="1"/>
        <v>0.75667716262228368</v>
      </c>
      <c r="S16" s="182">
        <f t="shared" ca="1" si="2"/>
        <v>0.51145927837621508</v>
      </c>
      <c r="T16" s="183" cm="1">
        <f t="array" aca="1" ref="T16" ca="1">+N16-(H16^{2}/(G16*2))</f>
        <v>429.36203199477393</v>
      </c>
      <c r="U16" s="42"/>
      <c r="V16" s="185">
        <f t="shared" ca="1" si="13"/>
        <v>423.25063118872868</v>
      </c>
      <c r="W16" s="184">
        <f ca="1">+O16/(1+($F$5-1)*S16^2/2)^($F$6)</f>
        <v>294.81749812958253</v>
      </c>
      <c r="X16" s="126">
        <f t="shared" ca="1" si="3"/>
        <v>2.346908139289309</v>
      </c>
      <c r="Y16" s="94">
        <f>0.5-(L16*(0.5*(TAN(C16*PI()/180)-TAN(E16*PI()/180))))</f>
        <v>0.5</v>
      </c>
      <c r="Z16" s="95" cm="1">
        <f t="array" ref="Z16">1-(K16/J16)^{2}</f>
        <v>0.54312134381971522</v>
      </c>
      <c r="AA16" s="96" cm="1">
        <f t="array" ref="AA16">1-(H16/I16)^{2}</f>
        <v>0.54312134381971522</v>
      </c>
      <c r="AB16" s="92"/>
    </row>
    <row r="17" spans="1:28" ht="14.25">
      <c r="A17" s="26">
        <v>7</v>
      </c>
      <c r="B17" s="35">
        <v>0</v>
      </c>
      <c r="C17" s="28"/>
      <c r="D17" s="143"/>
      <c r="E17" s="149"/>
      <c r="F17" s="150"/>
      <c r="G17" s="36"/>
      <c r="H17" s="37"/>
      <c r="I17" s="38"/>
      <c r="J17" s="39"/>
      <c r="K17" s="165"/>
      <c r="L17" s="171">
        <f>0.95-0.1/($B$23-1)*(SUM($B$11:B17)-1)</f>
        <v>0.85</v>
      </c>
      <c r="M17" s="177"/>
      <c r="N17" s="40"/>
      <c r="O17" s="7"/>
      <c r="P17" s="116">
        <v>1</v>
      </c>
      <c r="Q17" s="41"/>
      <c r="R17" s="181"/>
      <c r="S17" s="182"/>
      <c r="T17" s="176"/>
      <c r="U17" s="42"/>
      <c r="V17" s="43"/>
      <c r="W17" s="127"/>
      <c r="X17" s="128"/>
      <c r="Y17" s="94"/>
      <c r="Z17" s="95"/>
      <c r="AA17" s="96"/>
      <c r="AB17" s="92"/>
    </row>
    <row r="18" spans="1:28" ht="14.25">
      <c r="A18" s="26">
        <v>8</v>
      </c>
      <c r="B18" s="35">
        <v>0</v>
      </c>
      <c r="C18" s="28"/>
      <c r="D18" s="143"/>
      <c r="E18" s="149"/>
      <c r="F18" s="150"/>
      <c r="G18" s="36"/>
      <c r="H18" s="37"/>
      <c r="I18" s="38"/>
      <c r="J18" s="39"/>
      <c r="K18" s="165"/>
      <c r="L18" s="171">
        <f>0.95-0.1/($B$23-1)*(SUM($B$11:B18)-1)</f>
        <v>0.85</v>
      </c>
      <c r="M18" s="168"/>
      <c r="N18" s="40"/>
      <c r="O18" s="7"/>
      <c r="P18" s="116">
        <v>1</v>
      </c>
      <c r="Q18" s="41"/>
      <c r="R18" s="117"/>
      <c r="S18" s="7"/>
      <c r="T18" s="123"/>
      <c r="U18" s="42"/>
      <c r="V18" s="43"/>
      <c r="W18" s="127"/>
      <c r="X18" s="128"/>
      <c r="Y18" s="97"/>
      <c r="Z18" s="90"/>
      <c r="AA18" s="98"/>
      <c r="AB18" s="92"/>
    </row>
    <row r="19" spans="1:28" ht="14.25">
      <c r="A19" s="26">
        <v>9</v>
      </c>
      <c r="B19" s="35">
        <v>0</v>
      </c>
      <c r="C19" s="28"/>
      <c r="D19" s="143"/>
      <c r="E19" s="149"/>
      <c r="F19" s="150"/>
      <c r="G19" s="36"/>
      <c r="H19" s="37"/>
      <c r="I19" s="38"/>
      <c r="J19" s="39"/>
      <c r="K19" s="165"/>
      <c r="L19" s="171">
        <f>0.95-0.1/($B$23-1)*(SUM($B$11:B19)-1)</f>
        <v>0.85</v>
      </c>
      <c r="M19" s="168"/>
      <c r="N19" s="40"/>
      <c r="O19" s="7"/>
      <c r="P19" s="116">
        <v>1</v>
      </c>
      <c r="Q19" s="41"/>
      <c r="R19" s="117"/>
      <c r="S19" s="7"/>
      <c r="T19" s="123"/>
      <c r="U19" s="42"/>
      <c r="V19" s="43"/>
      <c r="W19" s="127"/>
      <c r="X19" s="128"/>
      <c r="Y19" s="97"/>
      <c r="Z19" s="90"/>
      <c r="AA19" s="98"/>
      <c r="AB19" s="92"/>
    </row>
    <row r="20" spans="1:28" ht="14.25">
      <c r="A20" s="26">
        <v>10</v>
      </c>
      <c r="B20" s="35">
        <v>0</v>
      </c>
      <c r="C20" s="28"/>
      <c r="D20" s="143"/>
      <c r="E20" s="149"/>
      <c r="F20" s="150"/>
      <c r="G20" s="36"/>
      <c r="H20" s="37"/>
      <c r="I20" s="38"/>
      <c r="J20" s="39"/>
      <c r="K20" s="165"/>
      <c r="L20" s="171">
        <f>0.95-0.1/($B$23-1)*(SUM($B$11:B20)-1)</f>
        <v>0.85</v>
      </c>
      <c r="M20" s="168"/>
      <c r="N20" s="40"/>
      <c r="O20" s="7"/>
      <c r="P20" s="116">
        <v>1</v>
      </c>
      <c r="Q20" s="41"/>
      <c r="R20" s="117"/>
      <c r="S20" s="7"/>
      <c r="T20" s="123"/>
      <c r="U20" s="42"/>
      <c r="V20" s="43"/>
      <c r="W20" s="127"/>
      <c r="X20" s="128"/>
      <c r="Y20" s="97"/>
      <c r="Z20" s="90"/>
      <c r="AA20" s="98"/>
      <c r="AB20" s="92"/>
    </row>
    <row r="21" spans="1:28" ht="14.25">
      <c r="A21" s="26">
        <v>11</v>
      </c>
      <c r="B21" s="35">
        <v>0</v>
      </c>
      <c r="C21" s="28"/>
      <c r="D21" s="143"/>
      <c r="E21" s="149"/>
      <c r="F21" s="150"/>
      <c r="G21" s="36"/>
      <c r="H21" s="37"/>
      <c r="I21" s="38"/>
      <c r="J21" s="39"/>
      <c r="K21" s="165"/>
      <c r="L21" s="171">
        <f>0.95-0.1/($B$23-1)*(SUM($B$11:B21)-1)</f>
        <v>0.85</v>
      </c>
      <c r="M21" s="168"/>
      <c r="N21" s="40"/>
      <c r="O21" s="7"/>
      <c r="P21" s="116">
        <v>1</v>
      </c>
      <c r="Q21" s="41"/>
      <c r="R21" s="117"/>
      <c r="S21" s="7"/>
      <c r="T21" s="123"/>
      <c r="U21" s="42"/>
      <c r="V21" s="43"/>
      <c r="W21" s="127"/>
      <c r="X21" s="128"/>
      <c r="Y21" s="97"/>
      <c r="Z21" s="90"/>
      <c r="AA21" s="98"/>
      <c r="AB21" s="92"/>
    </row>
    <row r="22" spans="1:28" ht="15" thickBot="1">
      <c r="A22" s="26">
        <v>12</v>
      </c>
      <c r="B22" s="44">
        <v>0</v>
      </c>
      <c r="C22" s="45"/>
      <c r="D22" s="144"/>
      <c r="E22" s="151"/>
      <c r="F22" s="152"/>
      <c r="G22" s="46"/>
      <c r="H22" s="47"/>
      <c r="I22" s="48"/>
      <c r="J22" s="49"/>
      <c r="K22" s="166"/>
      <c r="L22" s="173">
        <f>0.95-0.1/($B$23-1)*(SUM($B$11:B22)-1)</f>
        <v>0.85</v>
      </c>
      <c r="M22" s="169"/>
      <c r="N22" s="50"/>
      <c r="O22" s="119"/>
      <c r="P22" s="116">
        <v>1</v>
      </c>
      <c r="Q22" s="51"/>
      <c r="R22" s="118"/>
      <c r="S22" s="9"/>
      <c r="T22" s="124"/>
      <c r="U22" s="52"/>
      <c r="V22" s="53"/>
      <c r="W22" s="129"/>
      <c r="X22" s="130"/>
      <c r="Y22" s="99"/>
      <c r="Z22" s="100"/>
      <c r="AA22" s="101"/>
      <c r="AB22" s="93"/>
    </row>
    <row r="23" spans="1:28" ht="15" thickBot="1">
      <c r="B23" s="163">
        <f>SUM(B11:B22)</f>
        <v>6</v>
      </c>
      <c r="L23" s="114" t="s">
        <v>58</v>
      </c>
      <c r="M23">
        <f>AVERAGE(M11:M16)</f>
        <v>29.323941929956902</v>
      </c>
      <c r="O23" s="121" t="s">
        <v>60</v>
      </c>
      <c r="P23" s="120">
        <f>PRODUCT(P11:P22)</f>
        <v>4.3032498739742735</v>
      </c>
      <c r="AB23" s="122"/>
    </row>
    <row r="24" spans="1:28" ht="15.75" customHeight="1" thickBot="1">
      <c r="L24" s="114" t="s">
        <v>59</v>
      </c>
      <c r="M24">
        <f>STDEV(M11:M16)</f>
        <v>1.0850222462796086</v>
      </c>
    </row>
    <row r="25" spans="1:28" ht="13.5" thickBot="1">
      <c r="I25" s="54" t="s">
        <v>12</v>
      </c>
      <c r="J25" s="55"/>
      <c r="K25" s="55"/>
      <c r="L25" s="56"/>
      <c r="M25" s="54" t="s">
        <v>13</v>
      </c>
      <c r="N25" s="55"/>
      <c r="O25" s="55"/>
      <c r="P25" s="56"/>
    </row>
    <row r="26" spans="1:28" ht="19.5" thickBot="1">
      <c r="B26" s="23"/>
      <c r="C26" s="24" t="s">
        <v>51</v>
      </c>
      <c r="D26" s="25" t="s">
        <v>14</v>
      </c>
      <c r="E26" s="25" t="s">
        <v>27</v>
      </c>
      <c r="F26" s="25" t="s">
        <v>26</v>
      </c>
      <c r="G26" s="25" t="s">
        <v>52</v>
      </c>
      <c r="H26" s="57" t="s">
        <v>95</v>
      </c>
      <c r="I26" s="58" t="s">
        <v>15</v>
      </c>
      <c r="J26" s="59" t="s">
        <v>16</v>
      </c>
      <c r="K26" s="59" t="s">
        <v>53</v>
      </c>
      <c r="L26" s="60" t="s">
        <v>17</v>
      </c>
      <c r="M26" s="61" t="s">
        <v>15</v>
      </c>
      <c r="N26" s="62" t="s">
        <v>16</v>
      </c>
      <c r="O26" s="63" t="s">
        <v>54</v>
      </c>
      <c r="P26" s="64" t="s">
        <v>17</v>
      </c>
      <c r="Q26" s="24" t="s">
        <v>55</v>
      </c>
      <c r="R26" s="25" t="s">
        <v>18</v>
      </c>
      <c r="S26" s="25" t="s">
        <v>56</v>
      </c>
      <c r="T26" s="57" t="s">
        <v>57</v>
      </c>
      <c r="U26" s="186" t="s">
        <v>96</v>
      </c>
      <c r="V26" s="162" t="s">
        <v>100</v>
      </c>
      <c r="X26" s="162" t="s">
        <v>101</v>
      </c>
    </row>
    <row r="27" spans="1:28" ht="12.75">
      <c r="A27" s="26">
        <v>1</v>
      </c>
      <c r="B27" s="27">
        <v>1</v>
      </c>
      <c r="C27" s="65">
        <f>$C$2/($V$3*X11)</f>
        <v>0.32116661832834387</v>
      </c>
      <c r="D27" s="66"/>
      <c r="E27" s="66">
        <f>+O2*C6</f>
        <v>0.18459912398323025</v>
      </c>
      <c r="F27" s="66">
        <f>+SQRT(L3/PI()/(1-C6^2))</f>
        <v>0.3691982479664605</v>
      </c>
      <c r="G27" s="66">
        <f>F27-E27</f>
        <v>0.18459912398323025</v>
      </c>
      <c r="H27" s="67">
        <f>3</f>
        <v>3</v>
      </c>
      <c r="I27" s="68" t="s">
        <v>94</v>
      </c>
      <c r="J27" s="69">
        <v>1.25</v>
      </c>
      <c r="K27" s="69">
        <v>40</v>
      </c>
      <c r="L27" s="70">
        <f>2*PI()*$O$3/(Q27/J27)</f>
        <v>37.254705996735382</v>
      </c>
      <c r="M27" s="71" t="s">
        <v>94</v>
      </c>
      <c r="N27" s="72">
        <v>1.25</v>
      </c>
      <c r="O27" s="72">
        <v>40</v>
      </c>
      <c r="P27" s="73">
        <v>29.8</v>
      </c>
      <c r="Q27" s="65">
        <f>G27*(1/H27)</f>
        <v>6.1533041327743412E-2</v>
      </c>
      <c r="R27" s="66">
        <f>0.1*S27</f>
        <v>1.2306608265548684E-2</v>
      </c>
      <c r="S27" s="66">
        <f>2*Q27</f>
        <v>0.12306608265548682</v>
      </c>
      <c r="T27" s="67">
        <f>E27/F27</f>
        <v>0.5</v>
      </c>
      <c r="U27" s="92">
        <f>S27+R27</f>
        <v>0.13537269092103552</v>
      </c>
      <c r="V27">
        <v>0</v>
      </c>
    </row>
    <row r="28" spans="1:28" ht="12.75">
      <c r="A28" s="26">
        <v>2</v>
      </c>
      <c r="B28" s="35">
        <v>1</v>
      </c>
      <c r="C28" s="65">
        <f t="shared" ref="C28:C32" ca="1" si="15">$C$2/($V$3*X12)</f>
        <v>0.26340825705934612</v>
      </c>
      <c r="D28" s="20"/>
      <c r="E28" s="20" cm="1">
        <f t="array" aca="1" ref="E28" ca="1">SQRT($O$3^{2}-(C28/(2*PI())))</f>
        <v>0.20801289689878477</v>
      </c>
      <c r="F28" s="20" cm="1">
        <f t="array" aca="1" ref="F28" ca="1">SQRT($O$3^{2}+(C28/(2*PI())))</f>
        <v>0.35653165020886379</v>
      </c>
      <c r="G28" s="66">
        <f t="shared" ref="G28:G32" ca="1" si="16">F28-E28</f>
        <v>0.14851875331007902</v>
      </c>
      <c r="H28" s="75">
        <f>H27-0.3</f>
        <v>2.7</v>
      </c>
      <c r="I28" s="68" t="s">
        <v>94</v>
      </c>
      <c r="J28" s="69">
        <v>1.25</v>
      </c>
      <c r="K28" s="77">
        <v>40</v>
      </c>
      <c r="L28" s="70">
        <f ca="1">2*PI()*$O$3/(Q28/J28)</f>
        <v>41.674652824500193</v>
      </c>
      <c r="M28" s="79" t="s">
        <v>94</v>
      </c>
      <c r="N28" s="80">
        <v>1.25</v>
      </c>
      <c r="O28" s="80">
        <v>40</v>
      </c>
      <c r="P28" s="81">
        <f ca="1">2*PI()*$O$3/(Q28/J28)</f>
        <v>41.674652824500193</v>
      </c>
      <c r="Q28" s="65">
        <f t="shared" ref="Q28:Q32" ca="1" si="17">G28*(1/H28)</f>
        <v>5.5006945670399633E-2</v>
      </c>
      <c r="R28" s="66">
        <f t="shared" ref="R28:R32" ca="1" si="18">0.1*S28</f>
        <v>1.1001389134079928E-2</v>
      </c>
      <c r="S28" s="66">
        <f t="shared" ref="S28:S32" ca="1" si="19">2*Q28</f>
        <v>0.11001389134079927</v>
      </c>
      <c r="T28" s="67">
        <f t="shared" ref="T28:T31" ca="1" si="20">E28/F28</f>
        <v>0.58343458926276648</v>
      </c>
      <c r="U28" s="92">
        <f t="shared" ref="U28:U32" ca="1" si="21">S28+R28</f>
        <v>0.12101528047487919</v>
      </c>
      <c r="V28">
        <f>0.6*S27</f>
        <v>7.3839649593292089E-2</v>
      </c>
      <c r="X28">
        <f>$O$3</f>
        <v>0.29187684292941096</v>
      </c>
    </row>
    <row r="29" spans="1:28" ht="12.75">
      <c r="A29" s="26">
        <v>3</v>
      </c>
      <c r="B29" s="35">
        <v>1</v>
      </c>
      <c r="C29" s="65">
        <f t="shared" ca="1" si="15"/>
        <v>0.21862668292214163</v>
      </c>
      <c r="D29" s="20"/>
      <c r="E29" s="20" cm="1">
        <f t="array" aca="1" ref="E29" ca="1">SQRT($O$3^{2}-(C29/(2*PI())))</f>
        <v>0.2244918131237679</v>
      </c>
      <c r="F29" s="20" cm="1">
        <f t="array" aca="1" ref="F29" ca="1">SQRT($O$3^{2}+(C29/(2*PI())))</f>
        <v>0.34639227577600995</v>
      </c>
      <c r="G29" s="66">
        <f t="shared" ca="1" si="16"/>
        <v>0.12190046265224205</v>
      </c>
      <c r="H29" s="75">
        <f t="shared" ref="H29:H32" si="22">H28-0.3</f>
        <v>2.4000000000000004</v>
      </c>
      <c r="I29" s="76" t="s">
        <v>94</v>
      </c>
      <c r="J29" s="69">
        <v>1</v>
      </c>
      <c r="K29" s="77">
        <v>37.5</v>
      </c>
      <c r="L29" s="70">
        <f t="shared" ref="L29:L32" ca="1" si="23">2*PI()*$O$3/(Q29/J29)</f>
        <v>36.106500358053736</v>
      </c>
      <c r="M29" s="79" t="s">
        <v>99</v>
      </c>
      <c r="N29" s="80">
        <v>1</v>
      </c>
      <c r="O29" s="80">
        <v>37.5</v>
      </c>
      <c r="P29" s="81">
        <f t="shared" ref="P29:P32" ca="1" si="24">2*PI()*$O$3/(Q29/J29)</f>
        <v>36.106500358053736</v>
      </c>
      <c r="Q29" s="65">
        <f t="shared" ca="1" si="17"/>
        <v>5.0791859438434186E-2</v>
      </c>
      <c r="R29" s="66">
        <f t="shared" ca="1" si="18"/>
        <v>1.0158371887686838E-2</v>
      </c>
      <c r="S29" s="66">
        <f t="shared" ca="1" si="19"/>
        <v>0.10158371887686837</v>
      </c>
      <c r="T29" s="67">
        <f t="shared" ca="1" si="20"/>
        <v>0.64808550543122556</v>
      </c>
      <c r="U29" s="92">
        <f t="shared" ca="1" si="21"/>
        <v>0.11174209076455521</v>
      </c>
      <c r="V29">
        <f t="shared" ref="V29:V34" si="25">V28+U27</f>
        <v>0.2092123405143276</v>
      </c>
      <c r="X29">
        <f t="shared" ref="X29:X33" si="26">$O$3</f>
        <v>0.29187684292941096</v>
      </c>
    </row>
    <row r="30" spans="1:28" ht="12.75">
      <c r="A30" s="26">
        <v>4</v>
      </c>
      <c r="B30" s="35">
        <v>1</v>
      </c>
      <c r="C30" s="65">
        <f t="shared" ca="1" si="15"/>
        <v>0.18483450555819764</v>
      </c>
      <c r="D30" s="20"/>
      <c r="E30" s="20" cm="1">
        <f t="array" aca="1" ref="E30" ca="1">SQRT($O$3^{2}-(C30/(2*PI())))</f>
        <v>0.23616681863654443</v>
      </c>
      <c r="F30" s="20" cm="1">
        <f t="array" aca="1" ref="F30" ca="1">SQRT($O$3^{2}+(C30/(2*PI())))</f>
        <v>0.33854012561581764</v>
      </c>
      <c r="G30" s="66">
        <f t="shared" ca="1" si="16"/>
        <v>0.10237330697927322</v>
      </c>
      <c r="H30" s="75">
        <f t="shared" si="22"/>
        <v>2.1000000000000005</v>
      </c>
      <c r="I30" s="76" t="s">
        <v>94</v>
      </c>
      <c r="J30" s="69">
        <v>1</v>
      </c>
      <c r="K30" s="77">
        <v>37.5</v>
      </c>
      <c r="L30" s="70">
        <f t="shared" ca="1" si="23"/>
        <v>37.619417841799446</v>
      </c>
      <c r="M30" s="79" t="s">
        <v>94</v>
      </c>
      <c r="N30" s="80">
        <v>1</v>
      </c>
      <c r="O30" s="80">
        <v>37.5</v>
      </c>
      <c r="P30" s="81">
        <f t="shared" ca="1" si="24"/>
        <v>37.619417841799446</v>
      </c>
      <c r="Q30" s="65">
        <f t="shared" ca="1" si="17"/>
        <v>4.8749193799653895E-2</v>
      </c>
      <c r="R30" s="66">
        <f t="shared" ca="1" si="18"/>
        <v>9.74983875993078E-3</v>
      </c>
      <c r="S30" s="66">
        <f t="shared" ca="1" si="19"/>
        <v>9.749838759930779E-2</v>
      </c>
      <c r="T30" s="67">
        <f t="shared" ca="1" si="20"/>
        <v>0.69760362440625856</v>
      </c>
      <c r="U30" s="92">
        <f t="shared" ca="1" si="21"/>
        <v>0.10724822635923857</v>
      </c>
      <c r="V30">
        <f t="shared" ca="1" si="25"/>
        <v>0.33022762098920677</v>
      </c>
      <c r="X30">
        <f t="shared" si="26"/>
        <v>0.29187684292941096</v>
      </c>
    </row>
    <row r="31" spans="1:28" ht="12.75">
      <c r="A31" s="26">
        <v>5</v>
      </c>
      <c r="B31" s="35">
        <v>1</v>
      </c>
      <c r="C31" s="65">
        <f t="shared" ca="1" si="15"/>
        <v>0.15870447535577736</v>
      </c>
      <c r="D31" s="20"/>
      <c r="E31" s="20" cm="1">
        <f t="array" aca="1" ref="E31" ca="1">SQRT($O$3^{2}-(C31/(2*PI())))</f>
        <v>0.24481317304173436</v>
      </c>
      <c r="F31" s="20" cm="1">
        <f t="array" aca="1" ref="F31" ca="1">SQRT($O$3^{2}+(C31/(2*PI())))</f>
        <v>0.33234123003641586</v>
      </c>
      <c r="G31" s="66">
        <f t="shared" ca="1" si="16"/>
        <v>8.7528056994681497E-2</v>
      </c>
      <c r="H31" s="75">
        <f t="shared" si="22"/>
        <v>1.8000000000000005</v>
      </c>
      <c r="I31" s="76" t="s">
        <v>98</v>
      </c>
      <c r="J31" s="69">
        <v>1</v>
      </c>
      <c r="K31" s="77">
        <v>35</v>
      </c>
      <c r="L31" s="70">
        <f t="shared" ca="1" si="23"/>
        <v>37.714184881319298</v>
      </c>
      <c r="M31" s="79" t="s">
        <v>98</v>
      </c>
      <c r="N31" s="80">
        <v>1</v>
      </c>
      <c r="O31" s="80">
        <v>35</v>
      </c>
      <c r="P31" s="81">
        <f t="shared" ca="1" si="24"/>
        <v>37.714184881319298</v>
      </c>
      <c r="Q31" s="65">
        <f t="shared" ca="1" si="17"/>
        <v>4.8626698330378595E-2</v>
      </c>
      <c r="R31" s="66">
        <f t="shared" ca="1" si="18"/>
        <v>9.7253396660757201E-3</v>
      </c>
      <c r="S31" s="66">
        <f t="shared" ca="1" si="19"/>
        <v>9.7253396660757191E-2</v>
      </c>
      <c r="T31" s="67">
        <f t="shared" ca="1" si="20"/>
        <v>0.73663196412587528</v>
      </c>
      <c r="U31" s="92">
        <f t="shared" ca="1" si="21"/>
        <v>0.10697873632683291</v>
      </c>
      <c r="V31">
        <f t="shared" ca="1" si="25"/>
        <v>0.44196971175376198</v>
      </c>
      <c r="X31">
        <f t="shared" si="26"/>
        <v>0.29187684292941096</v>
      </c>
    </row>
    <row r="32" spans="1:28" ht="12.75">
      <c r="A32" s="26">
        <v>6</v>
      </c>
      <c r="B32" s="35">
        <v>1</v>
      </c>
      <c r="C32" s="65">
        <f t="shared" ca="1" si="15"/>
        <v>0.13740471268993573</v>
      </c>
      <c r="D32" s="20"/>
      <c r="E32" s="20" cm="1">
        <f t="array" aca="1" ref="E32" ca="1">SQRT($O$3^{2}-(C32/(2*PI())))</f>
        <v>0.25164151527463641</v>
      </c>
      <c r="F32" s="20" cm="1">
        <f t="array" aca="1" ref="F32" ca="1">SQRT($O$3^{2}+(C32/(2*PI())))</f>
        <v>0.32720136104112552</v>
      </c>
      <c r="G32" s="66">
        <f t="shared" ca="1" si="16"/>
        <v>7.5559845766489109E-2</v>
      </c>
      <c r="H32" s="75">
        <f t="shared" si="22"/>
        <v>1.5000000000000004</v>
      </c>
      <c r="I32" s="76" t="s">
        <v>98</v>
      </c>
      <c r="J32" s="69">
        <v>1</v>
      </c>
      <c r="K32" s="77">
        <v>35</v>
      </c>
      <c r="L32" s="70">
        <f t="shared" ca="1" si="23"/>
        <v>36.406565002810993</v>
      </c>
      <c r="M32" s="79" t="s">
        <v>98</v>
      </c>
      <c r="N32" s="80">
        <v>1</v>
      </c>
      <c r="O32" s="80">
        <v>35</v>
      </c>
      <c r="P32" s="81">
        <f t="shared" ca="1" si="24"/>
        <v>36.406565002810993</v>
      </c>
      <c r="Q32" s="65">
        <f t="shared" ca="1" si="17"/>
        <v>5.0373230510992725E-2</v>
      </c>
      <c r="R32" s="66">
        <f t="shared" ca="1" si="18"/>
        <v>1.0074646102198546E-2</v>
      </c>
      <c r="S32" s="66">
        <f t="shared" ca="1" si="19"/>
        <v>0.10074646102198545</v>
      </c>
      <c r="T32" s="67">
        <f ca="1">E32/F32</f>
        <v>0.76907233660011554</v>
      </c>
      <c r="U32" s="92">
        <f t="shared" ca="1" si="21"/>
        <v>0.110821107124184</v>
      </c>
      <c r="V32">
        <f t="shared" ca="1" si="25"/>
        <v>0.54921793811300057</v>
      </c>
      <c r="X32">
        <f t="shared" si="26"/>
        <v>0.29187684292941096</v>
      </c>
    </row>
    <row r="33" spans="1:24" ht="12.75">
      <c r="A33" s="26">
        <v>7</v>
      </c>
      <c r="B33" s="35">
        <v>0</v>
      </c>
      <c r="C33" s="65" cm="1">
        <f t="array" ref="C33">PI()*(F33^{2}-E33^{2})</f>
        <v>0</v>
      </c>
      <c r="D33" s="20"/>
      <c r="E33" s="20"/>
      <c r="F33" s="20"/>
      <c r="G33" s="20"/>
      <c r="H33" s="75"/>
      <c r="I33" s="76"/>
      <c r="J33" s="77"/>
      <c r="K33" s="77"/>
      <c r="L33" s="78"/>
      <c r="M33" s="79"/>
      <c r="N33" s="80"/>
      <c r="O33" s="80"/>
      <c r="P33" s="81"/>
      <c r="Q33" s="74"/>
      <c r="R33" s="20"/>
      <c r="S33" s="20"/>
      <c r="T33" s="75"/>
      <c r="U33" s="92"/>
      <c r="V33">
        <f t="shared" ca="1" si="25"/>
        <v>0.65619667443983354</v>
      </c>
      <c r="W33" t="s">
        <v>97</v>
      </c>
      <c r="X33">
        <f t="shared" si="26"/>
        <v>0.29187684292941096</v>
      </c>
    </row>
    <row r="34" spans="1:24" ht="12.75">
      <c r="A34" s="26">
        <v>8</v>
      </c>
      <c r="B34" s="35">
        <v>0</v>
      </c>
      <c r="C34" s="65" cm="1">
        <f t="array" ref="C34">PI()*(F34^{2}-E34^{2})</f>
        <v>0</v>
      </c>
      <c r="D34" s="20"/>
      <c r="E34" s="20"/>
      <c r="F34" s="20"/>
      <c r="G34" s="20"/>
      <c r="H34" s="75"/>
      <c r="I34" s="76"/>
      <c r="J34" s="77"/>
      <c r="K34" s="77"/>
      <c r="L34" s="78"/>
      <c r="M34" s="79"/>
      <c r="N34" s="80"/>
      <c r="O34" s="80"/>
      <c r="P34" s="81"/>
      <c r="Q34" s="74"/>
      <c r="R34" s="20"/>
      <c r="S34" s="20"/>
      <c r="T34" s="75"/>
      <c r="U34" s="92"/>
      <c r="V34">
        <f t="shared" ca="1" si="25"/>
        <v>0.76701778156401756</v>
      </c>
      <c r="W34">
        <f ca="1">SUM(U27:U32)</f>
        <v>0.69317813197072553</v>
      </c>
    </row>
    <row r="35" spans="1:24" ht="12.75">
      <c r="A35" s="26">
        <v>9</v>
      </c>
      <c r="B35" s="35">
        <v>0</v>
      </c>
      <c r="C35" s="65" cm="1">
        <f t="array" ref="C35">PI()*(F35^{2}-E35^{2})</f>
        <v>0</v>
      </c>
      <c r="D35" s="20"/>
      <c r="E35" s="20"/>
      <c r="F35" s="20"/>
      <c r="G35" s="20"/>
      <c r="H35" s="75"/>
      <c r="I35" s="76"/>
      <c r="J35" s="77"/>
      <c r="K35" s="77"/>
      <c r="L35" s="78"/>
      <c r="M35" s="79"/>
      <c r="N35" s="80"/>
      <c r="O35" s="80"/>
      <c r="P35" s="81"/>
      <c r="Q35" s="74"/>
      <c r="R35" s="20"/>
      <c r="S35" s="20"/>
      <c r="T35" s="75"/>
      <c r="U35" s="92"/>
    </row>
    <row r="36" spans="1:24" ht="13.5" thickBot="1">
      <c r="A36" s="26">
        <v>10</v>
      </c>
      <c r="B36" s="44">
        <v>0</v>
      </c>
      <c r="C36" s="65" cm="1">
        <f t="array" ref="C36">PI()*(F36^{2}-E36^{2})</f>
        <v>0</v>
      </c>
      <c r="D36" s="22"/>
      <c r="E36" s="22"/>
      <c r="F36" s="22"/>
      <c r="G36" s="22"/>
      <c r="H36" s="83"/>
      <c r="I36" s="84"/>
      <c r="J36" s="85"/>
      <c r="K36" s="85"/>
      <c r="L36" s="86"/>
      <c r="M36" s="87"/>
      <c r="N36" s="88"/>
      <c r="O36" s="88"/>
      <c r="P36" s="89"/>
      <c r="Q36" s="82"/>
      <c r="R36" s="22"/>
      <c r="S36" s="22"/>
      <c r="T36" s="83"/>
      <c r="U36" s="93"/>
    </row>
    <row r="48" spans="1:24" ht="15.75" customHeight="1">
      <c r="V48">
        <v>3</v>
      </c>
    </row>
    <row r="70" spans="7:23" ht="15.75" customHeight="1">
      <c r="V70">
        <v>4</v>
      </c>
    </row>
    <row r="72" spans="7:23" ht="15.75" customHeight="1">
      <c r="G72">
        <v>2</v>
      </c>
    </row>
    <row r="74" spans="7:23" ht="15.75" customHeight="1">
      <c r="W74">
        <v>4</v>
      </c>
    </row>
    <row r="96" spans="7:7" ht="15.75" customHeight="1">
      <c r="G96">
        <v>1</v>
      </c>
    </row>
  </sheetData>
  <mergeCells count="1">
    <mergeCell ref="H7:K7"/>
  </mergeCells>
  <conditionalFormatting sqref="L11:L22">
    <cfRule type="expression" dxfId="1" priority="1">
      <formula>B11=1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6"/>
  <sheetViews>
    <sheetView topLeftCell="A19" zoomScale="115" zoomScaleNormal="115" workbookViewId="0">
      <selection activeCell="U32" sqref="C27:U32"/>
    </sheetView>
  </sheetViews>
  <sheetFormatPr defaultColWidth="14.42578125" defaultRowHeight="15.75" customHeight="1"/>
  <cols>
    <col min="1" max="1" width="6.5703125" customWidth="1"/>
    <col min="2" max="2" width="6" bestFit="1" customWidth="1"/>
    <col min="3" max="6" width="9" customWidth="1"/>
    <col min="7" max="7" width="12.28515625" bestFit="1" customWidth="1"/>
    <col min="8" max="8" width="7.5703125" customWidth="1"/>
    <col min="9" max="9" width="12.85546875" bestFit="1" customWidth="1"/>
    <col min="10" max="10" width="6" customWidth="1"/>
    <col min="11" max="11" width="9.5703125" customWidth="1"/>
    <col min="12" max="12" width="9.42578125" customWidth="1"/>
    <col min="13" max="13" width="8.85546875" customWidth="1"/>
    <col min="14" max="14" width="8.28515625" customWidth="1"/>
    <col min="15" max="15" width="13.140625" bestFit="1" customWidth="1"/>
    <col min="16" max="16" width="11.7109375" customWidth="1"/>
    <col min="17" max="17" width="6.28515625" customWidth="1"/>
    <col min="18" max="18" width="9.5703125" customWidth="1"/>
    <col min="19" max="19" width="10.85546875" customWidth="1"/>
    <col min="20" max="20" width="12.5703125" customWidth="1"/>
    <col min="21" max="21" width="15.140625" bestFit="1" customWidth="1"/>
    <col min="22" max="23" width="12.85546875" bestFit="1" customWidth="1"/>
    <col min="24" max="24" width="8.42578125" customWidth="1"/>
    <col min="25" max="25" width="9.5703125" bestFit="1" customWidth="1"/>
    <col min="26" max="27" width="8" customWidth="1"/>
    <col min="28" max="28" width="10.5703125" customWidth="1"/>
  </cols>
  <sheetData>
    <row r="1" spans="1:30" ht="15.75" customHeight="1" thickBot="1">
      <c r="B1" s="153" t="s">
        <v>0</v>
      </c>
      <c r="C1" s="154"/>
      <c r="H1" s="1" t="s">
        <v>1</v>
      </c>
      <c r="K1" s="114"/>
    </row>
    <row r="2" spans="1:30" ht="15.75" customHeight="1" thickBot="1">
      <c r="B2" s="155" t="s">
        <v>2</v>
      </c>
      <c r="C2" s="135">
        <v>50</v>
      </c>
      <c r="D2" s="114" t="s">
        <v>62</v>
      </c>
      <c r="E2" s="134" t="s">
        <v>66</v>
      </c>
      <c r="F2" s="135">
        <v>3.5</v>
      </c>
      <c r="H2" s="2" t="s">
        <v>22</v>
      </c>
      <c r="I2" s="3">
        <f>+C3/(1+(F5-1)*O6^2/2)</f>
        <v>285.71428571428572</v>
      </c>
      <c r="J2" t="s">
        <v>64</v>
      </c>
      <c r="K2" s="2" t="s">
        <v>25</v>
      </c>
      <c r="L2" s="3">
        <f>+C5/O2*O3</f>
        <v>292.51068356557511</v>
      </c>
      <c r="N2" s="2" t="s">
        <v>77</v>
      </c>
      <c r="O2" s="3">
        <f>+SQRT(L3/PI()/(1-C6^2))</f>
        <v>0.35025221151529318</v>
      </c>
      <c r="P2" s="114" t="s">
        <v>84</v>
      </c>
      <c r="Q2" s="161" t="s">
        <v>87</v>
      </c>
      <c r="R2" s="4">
        <f>0.95*L2^2/F4*(1-V3/L2*(TAN(O7*PI()/180)+TAN(C7*PI()/180)))</f>
        <v>25.035213387669327</v>
      </c>
      <c r="T2" s="5" t="s">
        <v>3</v>
      </c>
      <c r="X2" s="114" t="s">
        <v>5</v>
      </c>
      <c r="Y2">
        <v>8.3144720000000003</v>
      </c>
      <c r="Z2" s="114" t="s">
        <v>65</v>
      </c>
    </row>
    <row r="3" spans="1:30" ht="15.75" customHeight="1" thickBot="1">
      <c r="B3" s="136" t="s">
        <v>19</v>
      </c>
      <c r="C3" s="137">
        <v>300</v>
      </c>
      <c r="D3" s="114" t="s">
        <v>64</v>
      </c>
      <c r="E3" s="136" t="s">
        <v>82</v>
      </c>
      <c r="F3" s="137">
        <v>0.9</v>
      </c>
      <c r="H3" s="6" t="s">
        <v>23</v>
      </c>
      <c r="I3" s="7">
        <f>+C4/(1+(F5-1)*O6^2/2)^(F6)</f>
        <v>85.144936717677865</v>
      </c>
      <c r="J3" s="114" t="s">
        <v>63</v>
      </c>
      <c r="K3" s="8" t="s">
        <v>4</v>
      </c>
      <c r="L3" s="9">
        <f>C2/I4/V3</f>
        <v>0.28904995649550941</v>
      </c>
      <c r="M3" s="162" t="s">
        <v>83</v>
      </c>
      <c r="N3" s="6" t="s">
        <v>78</v>
      </c>
      <c r="O3" s="7">
        <f>+SQRT((O2^2+O4^2)/2)</f>
        <v>0.2768986859748454</v>
      </c>
      <c r="P3" s="162" t="s">
        <v>84</v>
      </c>
      <c r="Q3" s="10" t="s">
        <v>86</v>
      </c>
      <c r="R3" s="11">
        <f>+C3/F3*(F2^(1/F6)-1)</f>
        <v>143.45624930879518</v>
      </c>
      <c r="T3" s="2" t="s">
        <v>80</v>
      </c>
      <c r="U3" s="12"/>
      <c r="V3" s="3">
        <f>+O6*SQRT(F5*I2*F7)</f>
        <v>172.27798177840381</v>
      </c>
      <c r="X3" s="114" t="s">
        <v>69</v>
      </c>
      <c r="Y3">
        <v>28.013999999999999</v>
      </c>
      <c r="Z3" s="114" t="s">
        <v>72</v>
      </c>
    </row>
    <row r="4" spans="1:30" ht="15.75" customHeight="1" thickBot="1">
      <c r="B4" s="136" t="s">
        <v>68</v>
      </c>
      <c r="C4" s="137">
        <v>101</v>
      </c>
      <c r="D4" s="114" t="s">
        <v>63</v>
      </c>
      <c r="E4" s="136" t="s">
        <v>21</v>
      </c>
      <c r="F4" s="137">
        <v>1038.73</v>
      </c>
      <c r="G4" s="133" t="s">
        <v>81</v>
      </c>
      <c r="H4" s="13" t="s">
        <v>24</v>
      </c>
      <c r="I4" s="7">
        <f>+C8/(1+(F5-1)/2*O6^2)^(F6/F5)</f>
        <v>1.0040776973248087</v>
      </c>
      <c r="N4" s="8" t="s">
        <v>79</v>
      </c>
      <c r="O4" s="9">
        <f>+O2*C6</f>
        <v>0.17512610575764659</v>
      </c>
      <c r="P4" s="114" t="s">
        <v>84</v>
      </c>
      <c r="Q4" s="14" t="s">
        <v>5</v>
      </c>
      <c r="R4" s="15">
        <v>0.5</v>
      </c>
      <c r="T4" s="6" t="s">
        <v>34</v>
      </c>
      <c r="U4" s="16"/>
      <c r="V4" s="7">
        <f>+V3/COS(R6*PI()/180)</f>
        <v>258.74010060083657</v>
      </c>
      <c r="X4" s="114" t="s">
        <v>88</v>
      </c>
      <c r="Y4">
        <v>3.6749999999999998</v>
      </c>
    </row>
    <row r="5" spans="1:30" ht="15.75" customHeight="1" thickBot="1">
      <c r="B5" s="136" t="s">
        <v>75</v>
      </c>
      <c r="C5" s="137">
        <v>370</v>
      </c>
      <c r="D5" s="160" t="s">
        <v>74</v>
      </c>
      <c r="E5" s="136" t="s">
        <v>6</v>
      </c>
      <c r="F5" s="138">
        <v>1.4</v>
      </c>
      <c r="H5" s="8" t="s">
        <v>73</v>
      </c>
      <c r="I5" s="9">
        <f>+(F2^(1/F6)-1)/(F2^(1/F6/F3)-1)</f>
        <v>0.88117871150720328</v>
      </c>
      <c r="K5" s="17" t="s">
        <v>61</v>
      </c>
      <c r="L5" s="18">
        <f>+V3/L2</f>
        <v>0.58896304120728804</v>
      </c>
      <c r="T5" s="6" t="s">
        <v>35</v>
      </c>
      <c r="U5" s="16"/>
      <c r="V5" s="7">
        <f>+V3/COS(O7*PI()/180)</f>
        <v>198.92947831041374</v>
      </c>
      <c r="X5" s="114" t="s">
        <v>89</v>
      </c>
      <c r="Y5" s="174">
        <v>-1.8779999999999999E-3</v>
      </c>
      <c r="AD5" t="s">
        <v>113</v>
      </c>
    </row>
    <row r="6" spans="1:30" ht="15.75" customHeight="1" thickBot="1">
      <c r="B6" s="136" t="s">
        <v>76</v>
      </c>
      <c r="C6" s="137">
        <v>0.5</v>
      </c>
      <c r="E6" s="136" t="s">
        <v>7</v>
      </c>
      <c r="F6" s="139">
        <f>+F5/(F5-1)</f>
        <v>3.5000000000000004</v>
      </c>
      <c r="N6" s="131" t="s">
        <v>8</v>
      </c>
      <c r="O6" s="132">
        <v>0.5</v>
      </c>
      <c r="Q6" s="19" t="s">
        <v>47</v>
      </c>
      <c r="R6" s="20">
        <f>+ATAN((L2-V6*SIN(C7*PI()/180))/V3)*180/PI()</f>
        <v>48.25365294491656</v>
      </c>
      <c r="T6" s="6" t="s">
        <v>32</v>
      </c>
      <c r="U6" s="16"/>
      <c r="V6" s="7">
        <f>+V3/COS(C7*PI()/180)</f>
        <v>198.92947831041374</v>
      </c>
      <c r="X6" s="114" t="s">
        <v>90</v>
      </c>
      <c r="Y6" s="174">
        <v>2.3240000000000001E-6</v>
      </c>
      <c r="AD6" s="174">
        <f ca="1">((-G16+G11)/G11)*100</f>
        <v>1.9999724751698205</v>
      </c>
    </row>
    <row r="7" spans="1:30" ht="15.75" customHeight="1" thickBot="1">
      <c r="B7" s="157" t="s">
        <v>20</v>
      </c>
      <c r="C7" s="158">
        <v>30</v>
      </c>
      <c r="E7" s="140" t="s">
        <v>9</v>
      </c>
      <c r="F7" s="141">
        <f>+Y2/Y3*1000</f>
        <v>296.79703005640039</v>
      </c>
      <c r="G7" s="114" t="s">
        <v>81</v>
      </c>
      <c r="H7" s="194" t="s">
        <v>10</v>
      </c>
      <c r="I7" s="195"/>
      <c r="J7" s="195"/>
      <c r="K7" s="196"/>
      <c r="L7" s="21">
        <f>+R3/R2</f>
        <v>5.7301788120348975</v>
      </c>
      <c r="N7" s="131" t="s">
        <v>85</v>
      </c>
      <c r="O7" s="132">
        <f>+C7</f>
        <v>30</v>
      </c>
      <c r="Q7" s="19" t="s">
        <v>48</v>
      </c>
      <c r="R7" s="20">
        <f>+ATAN((L2-V5*SIN(O7*PI()/180))/V3)*180/PI()</f>
        <v>48.25365294491656</v>
      </c>
      <c r="T7" s="8" t="s">
        <v>33</v>
      </c>
      <c r="U7" s="22"/>
      <c r="V7" s="9">
        <f>+V3/COS(R7*PI()/180)</f>
        <v>258.74010060083657</v>
      </c>
      <c r="X7" s="114" t="s">
        <v>91</v>
      </c>
      <c r="Y7" s="174">
        <v>-6.2000000000000003E-10</v>
      </c>
    </row>
    <row r="8" spans="1:30" ht="15.75" customHeight="1" thickBot="1">
      <c r="B8" s="159" t="s">
        <v>70</v>
      </c>
      <c r="C8" s="156">
        <f>+C4*1000/(F7*C3)</f>
        <v>1.1343330039478152</v>
      </c>
      <c r="D8" s="114" t="s">
        <v>71</v>
      </c>
      <c r="E8" s="133" t="s">
        <v>67</v>
      </c>
      <c r="X8" s="114" t="s">
        <v>92</v>
      </c>
      <c r="Y8" s="174">
        <v>-2.26E-13</v>
      </c>
    </row>
    <row r="9" spans="1:30" ht="15.75" customHeight="1" thickBot="1">
      <c r="E9" s="133"/>
    </row>
    <row r="10" spans="1:30" ht="16.5" thickBot="1">
      <c r="B10" s="23"/>
      <c r="C10" s="102" t="s">
        <v>28</v>
      </c>
      <c r="D10" s="142" t="s">
        <v>29</v>
      </c>
      <c r="E10" s="145" t="s">
        <v>30</v>
      </c>
      <c r="F10" s="146" t="s">
        <v>31</v>
      </c>
      <c r="G10" s="103" t="s">
        <v>93</v>
      </c>
      <c r="H10" s="170" t="s">
        <v>32</v>
      </c>
      <c r="I10" s="178" t="s">
        <v>33</v>
      </c>
      <c r="J10" s="104" t="s">
        <v>34</v>
      </c>
      <c r="K10" s="164" t="s">
        <v>35</v>
      </c>
      <c r="L10" s="170" t="s">
        <v>36</v>
      </c>
      <c r="M10" s="167" t="s">
        <v>37</v>
      </c>
      <c r="N10" s="106" t="s">
        <v>38</v>
      </c>
      <c r="O10" s="107" t="s">
        <v>39</v>
      </c>
      <c r="P10" s="115" t="s">
        <v>40</v>
      </c>
      <c r="Q10" s="105" t="s">
        <v>11</v>
      </c>
      <c r="R10" s="104" t="s">
        <v>41</v>
      </c>
      <c r="S10" s="105" t="s">
        <v>42</v>
      </c>
      <c r="T10" s="104" t="s">
        <v>43</v>
      </c>
      <c r="U10" s="104" t="s">
        <v>114</v>
      </c>
      <c r="V10" s="105" t="s">
        <v>43</v>
      </c>
      <c r="W10" s="108" t="s">
        <v>44</v>
      </c>
      <c r="X10" s="109" t="s">
        <v>45</v>
      </c>
      <c r="Y10" s="110" t="s">
        <v>5</v>
      </c>
      <c r="Z10" s="111" t="s">
        <v>46</v>
      </c>
      <c r="AA10" s="112" t="s">
        <v>50</v>
      </c>
      <c r="AB10" s="113" t="s">
        <v>49</v>
      </c>
    </row>
    <row r="11" spans="1:30" ht="15" thickBot="1">
      <c r="A11" s="26">
        <v>1</v>
      </c>
      <c r="B11" s="27">
        <v>1</v>
      </c>
      <c r="C11" s="28">
        <f>+C7</f>
        <v>30</v>
      </c>
      <c r="D11" s="143">
        <f>+ATAN((L2-V6*SIN(C7*PI()/180))/V3)*180/PI()</f>
        <v>48.25365294491656</v>
      </c>
      <c r="E11" s="147">
        <f>+C11</f>
        <v>30</v>
      </c>
      <c r="F11" s="148">
        <f>D11</f>
        <v>48.25365294491656</v>
      </c>
      <c r="G11" s="175" cm="1">
        <f t="array" aca="1" ref="G11" ca="1">+($Y$4+$Y$5*T11+$Y$6*T11^{2}+$Y$7*T11^{3}+$Y$8*T11^{4})*F$7</f>
        <v>984.30891318177953</v>
      </c>
      <c r="H11" s="179">
        <f>+V3/COS(C7*PI()/180)</f>
        <v>198.92947831041374</v>
      </c>
      <c r="I11" s="180">
        <f>+V3/COS(R7*PI()/180)</f>
        <v>258.74010060083657</v>
      </c>
      <c r="J11" s="41">
        <f>+V3/COS(R6*PI()/180)</f>
        <v>258.74010060083657</v>
      </c>
      <c r="K11" s="7">
        <f>+V3/COS(O7*PI()/180)</f>
        <v>198.92947831041374</v>
      </c>
      <c r="L11" s="172">
        <f>0.95-0.1/($B$23-1)*(SUM($B$11:B11)-1)</f>
        <v>0.95</v>
      </c>
      <c r="M11" s="177">
        <f>0.95*L2^2/F4*(1-V3/L2*(TAN(O7*PI()/180)+TAN(C7*PI()/180)))</f>
        <v>25.035213387669327</v>
      </c>
      <c r="N11" s="30">
        <f>C3</f>
        <v>300</v>
      </c>
      <c r="O11" s="31">
        <f>C4</f>
        <v>101</v>
      </c>
      <c r="P11" s="116">
        <f>(1+$F$3*M11/N11)^($F$6)</f>
        <v>1.2884838838476169</v>
      </c>
      <c r="Q11" s="32">
        <v>1</v>
      </c>
      <c r="R11" s="181">
        <f ca="1">J11/(SQRT($F$5*$F$7*$T$11))</f>
        <v>0.75869979343144023</v>
      </c>
      <c r="S11" s="182">
        <f ca="1">H11/(SQRT($F$5*$F$7*$T$11))</f>
        <v>0.58331798492408526</v>
      </c>
      <c r="T11" s="176" cm="1">
        <f t="array" aca="1" ref="T11" ca="1">N11-(H11^{2}/(G11*2))</f>
        <v>279.89811084157827</v>
      </c>
      <c r="U11" s="33">
        <f>$F$4*M11/($L$2*$L$2)</f>
        <v>0.30392785627084012</v>
      </c>
      <c r="V11" s="34">
        <f>+C3/(1+($F$5-1)*O6^2/2)</f>
        <v>285.71428571428572</v>
      </c>
      <c r="W11" s="189">
        <f ca="1">+C4/(1+(F5-1)*S11^2/2)^(F6)</f>
        <v>80.213601986168854</v>
      </c>
      <c r="X11" s="126">
        <f ca="1">W11/($F$7*V11)*1000</f>
        <v>0.94592458320165951</v>
      </c>
      <c r="Y11" s="94">
        <f>0.5-(L5*(0.5*(TAN(C11*PI()/180)-TAN(E11*PI()/180))))</f>
        <v>0.5</v>
      </c>
      <c r="Z11" s="95" cm="1">
        <f t="array" ref="Z11">1-(K11/J11)^{2}</f>
        <v>0.40888660334345173</v>
      </c>
      <c r="AA11" s="96" cm="1">
        <f t="array" ref="AA11">1-(H11/I11)^{2}</f>
        <v>0.40888660334345173</v>
      </c>
      <c r="AB11" s="91"/>
    </row>
    <row r="12" spans="1:30" ht="15" thickBot="1">
      <c r="A12" s="26">
        <v>2</v>
      </c>
      <c r="B12" s="35">
        <v>1</v>
      </c>
      <c r="C12" s="28">
        <v>30</v>
      </c>
      <c r="D12" s="143">
        <f>ATAN(($L$2-H11*SIN(C12*PI()/180))/$V$3)*180/PI()</f>
        <v>48.25365294491656</v>
      </c>
      <c r="E12" s="149">
        <f>C12</f>
        <v>30</v>
      </c>
      <c r="F12" s="150">
        <f>D12</f>
        <v>48.25365294491656</v>
      </c>
      <c r="G12" s="175" cm="1">
        <f t="array" aca="1" ref="G12" ca="1">+($Y$4+$Y$5*T12+$Y$6*T12^{2}+$Y$7*T12^{3}+$Y$8*T12^{4})*F$7</f>
        <v>979.12375472990004</v>
      </c>
      <c r="H12" s="29">
        <f>$V$3/COS(C12*PI()/180)</f>
        <v>198.92947831041374</v>
      </c>
      <c r="I12" s="29">
        <f>$V$3/COS(D12*PI()/180)</f>
        <v>258.74010060083657</v>
      </c>
      <c r="J12" s="39">
        <f>+$V$3/COS($F$12*PI()/180)</f>
        <v>258.74010060083657</v>
      </c>
      <c r="K12" s="165">
        <f>+$V$3/COS($E$12*PI()/180)</f>
        <v>198.92947831041374</v>
      </c>
      <c r="L12" s="171">
        <f>0.95-0.1/($B$23-1)*(SUM($B$11:B12)-1)</f>
        <v>0.92999999999999994</v>
      </c>
      <c r="M12" s="177">
        <f>L12*$L$2^2/$F$4*(1-$V$3/$L$2*(TAN(E12*PI()/180)+TAN(C12*PI()/180)))</f>
        <v>24.508156263718394</v>
      </c>
      <c r="N12" s="40">
        <f>N11+M11</f>
        <v>325.03521338766933</v>
      </c>
      <c r="O12" s="7">
        <f>O11*P11</f>
        <v>130.1368722686093</v>
      </c>
      <c r="P12" s="116">
        <f t="shared" ref="P12:P16" si="0">(1+$F$3*M12/N12)^($F$6)</f>
        <v>1.2583518493824657</v>
      </c>
      <c r="Q12" s="41">
        <v>1</v>
      </c>
      <c r="R12" s="181">
        <f t="shared" ref="R12:R16" ca="1" si="1">J12/(SQRT($F$5*$F$7*$T$11))</f>
        <v>0.75869979343144023</v>
      </c>
      <c r="S12" s="182">
        <f t="shared" ref="S12:S16" ca="1" si="2">H12/(SQRT($F$5*$F$7*$T$11))</f>
        <v>0.58331798492408526</v>
      </c>
      <c r="T12" s="183" cm="1">
        <f t="array" aca="1" ref="T12" ca="1">+N12-(H12^{2}/(G12*2))</f>
        <v>304.82687039237049</v>
      </c>
      <c r="U12" s="33">
        <f t="shared" ref="U12:U16" si="3">$F$4*M12/($L$2*$L$2)</f>
        <v>0.29752937508619087</v>
      </c>
      <c r="V12" s="185">
        <f ca="1">+N12/(1+($F$5-1)*S12^2/2)</f>
        <v>304.32527742717042</v>
      </c>
      <c r="W12" s="184">
        <f ca="1">+O12/(1+($F$5-1)*S12^2/2)^($F$6)</f>
        <v>103.35393342454574</v>
      </c>
      <c r="X12" s="126">
        <f t="shared" ref="X12:X16" ca="1" si="4">W12/($F$7*V12)*1000</f>
        <v>1.1442724246472395</v>
      </c>
      <c r="Y12" s="94">
        <f t="shared" ref="Y12:Y15" si="5">0.5-(L6*(0.5*(TAN(C12*PI()/180)-TAN(E12*PI()/180))))</f>
        <v>0.5</v>
      </c>
      <c r="Z12" s="95" cm="1">
        <f t="array" ref="Z12">1-(K12/J12)^{2}</f>
        <v>0.40888660334345173</v>
      </c>
      <c r="AA12" s="96" cm="1">
        <f t="array" ref="AA12">1-(H12/I12)^{2}</f>
        <v>0.40888660334345173</v>
      </c>
      <c r="AB12" s="92"/>
    </row>
    <row r="13" spans="1:30" ht="15" thickBot="1">
      <c r="A13" s="26">
        <v>3</v>
      </c>
      <c r="B13" s="35">
        <v>1</v>
      </c>
      <c r="C13" s="28">
        <v>30</v>
      </c>
      <c r="D13" s="143">
        <f t="shared" ref="D13:D16" si="6">ATAN(($L$2-H12*SIN(C13*PI()/180))/$V$3)*180/PI()</f>
        <v>48.25365294491656</v>
      </c>
      <c r="E13" s="149">
        <f t="shared" ref="E13:E16" si="7">C13</f>
        <v>30</v>
      </c>
      <c r="F13" s="150">
        <f t="shared" ref="F13:F16" si="8">D13</f>
        <v>48.25365294491656</v>
      </c>
      <c r="G13" s="175" cm="1">
        <f t="array" aca="1" ref="G13" ca="1">+($Y$4+$Y$5*T13+$Y$6*T13^{2}+$Y$7*T13^{3}+$Y$8*T13^{4})*F$7</f>
        <v>974.62876891451037</v>
      </c>
      <c r="H13" s="29">
        <f t="shared" ref="H13:H16" si="9">$V$3/COS(C13*PI()/180)</f>
        <v>198.92947831041374</v>
      </c>
      <c r="I13" s="29">
        <f t="shared" ref="I13:I16" si="10">$V$3/COS(D13*PI()/180)</f>
        <v>258.74010060083657</v>
      </c>
      <c r="J13" s="39">
        <f t="shared" ref="J13:J15" si="11">+$V$3/COS($F$12*PI()/180)</f>
        <v>258.74010060083657</v>
      </c>
      <c r="K13" s="165">
        <f t="shared" ref="K13:K15" si="12">+$V$3/COS($E$12*PI()/180)</f>
        <v>198.92947831041374</v>
      </c>
      <c r="L13" s="171">
        <f>0.95-0.1/($B$23-1)*(SUM($B$11:B13)-1)</f>
        <v>0.90999999999999992</v>
      </c>
      <c r="M13" s="177">
        <f t="shared" ref="M13:M16" si="13">L13*$L$2^2/$F$4*(1-$V$3/$L$2*(TAN(E13*PI()/180)+TAN(C13*PI()/180)))</f>
        <v>23.981099139767455</v>
      </c>
      <c r="N13" s="40">
        <f t="shared" ref="N13:N16" si="14">N12+M12</f>
        <v>349.54336965138771</v>
      </c>
      <c r="O13" s="7">
        <f t="shared" ref="O13:O16" si="15">O12*P12</f>
        <v>163.75797389205422</v>
      </c>
      <c r="P13" s="116">
        <f t="shared" si="0"/>
        <v>1.2333108797008119</v>
      </c>
      <c r="Q13" s="41">
        <v>1</v>
      </c>
      <c r="R13" s="181">
        <f t="shared" ca="1" si="1"/>
        <v>0.75869979343144023</v>
      </c>
      <c r="S13" s="182">
        <f t="shared" ca="1" si="2"/>
        <v>0.58331798492408526</v>
      </c>
      <c r="T13" s="183" cm="1">
        <f t="array" aca="1" ref="T13" ca="1">+N13-(H13^{2}/(G13*2))</f>
        <v>329.2418258210493</v>
      </c>
      <c r="U13" s="33">
        <f t="shared" si="3"/>
        <v>0.29113089390154151</v>
      </c>
      <c r="V13" s="185">
        <f t="shared" ref="V13:V16" ca="1" si="16">+N13/(1+($F$5-1)*S13^2/2)</f>
        <v>327.27187258665811</v>
      </c>
      <c r="W13" s="184">
        <f t="shared" ref="W13:W15" ca="1" si="17">+O13/(1+($F$5-1)*S13^2/2)^($F$6)</f>
        <v>130.05561326572936</v>
      </c>
      <c r="X13" s="126">
        <f t="shared" ca="1" si="4"/>
        <v>1.3389392386382108</v>
      </c>
      <c r="Y13" s="94">
        <f t="shared" si="5"/>
        <v>0.5</v>
      </c>
      <c r="Z13" s="95" cm="1">
        <f t="array" ref="Z13">1-(K13/J13)^{2}</f>
        <v>0.40888660334345173</v>
      </c>
      <c r="AA13" s="96" cm="1">
        <f t="array" ref="AA13">1-(H13/I13)^{2}</f>
        <v>0.40888660334345173</v>
      </c>
      <c r="AB13" s="92"/>
    </row>
    <row r="14" spans="1:30" ht="15" thickBot="1">
      <c r="A14" s="26">
        <v>4</v>
      </c>
      <c r="B14" s="35">
        <v>1</v>
      </c>
      <c r="C14" s="28">
        <v>30</v>
      </c>
      <c r="D14" s="143">
        <f t="shared" si="6"/>
        <v>48.25365294491656</v>
      </c>
      <c r="E14" s="149">
        <f t="shared" si="7"/>
        <v>30</v>
      </c>
      <c r="F14" s="150">
        <f t="shared" si="8"/>
        <v>48.25365294491656</v>
      </c>
      <c r="G14" s="175" cm="1">
        <f t="array" aca="1" ref="G14" ca="1">+($Y$4+$Y$5*T14+$Y$6*T14^{2}+$Y$7*T14^{3}+$Y$8*T14^{4})*F$7</f>
        <v>970.76488872225252</v>
      </c>
      <c r="H14" s="29">
        <f t="shared" si="9"/>
        <v>198.92947831041374</v>
      </c>
      <c r="I14" s="29">
        <f t="shared" si="10"/>
        <v>258.74010060083657</v>
      </c>
      <c r="J14" s="39">
        <f t="shared" si="11"/>
        <v>258.74010060083657</v>
      </c>
      <c r="K14" s="165">
        <f t="shared" si="12"/>
        <v>198.92947831041374</v>
      </c>
      <c r="L14" s="171">
        <f>0.95-0.1/($B$23-1)*(SUM($B$11:B14)-1)</f>
        <v>0.8899999999999999</v>
      </c>
      <c r="M14" s="177">
        <f t="shared" si="13"/>
        <v>23.454042015816523</v>
      </c>
      <c r="N14" s="40">
        <f t="shared" si="14"/>
        <v>373.52446879115519</v>
      </c>
      <c r="O14" s="7">
        <f t="shared" si="15"/>
        <v>201.96449083883198</v>
      </c>
      <c r="P14" s="116">
        <f t="shared" si="0"/>
        <v>1.2121618413812478</v>
      </c>
      <c r="Q14" s="41">
        <v>1</v>
      </c>
      <c r="R14" s="181">
        <f t="shared" ca="1" si="1"/>
        <v>0.75869979343144023</v>
      </c>
      <c r="S14" s="182">
        <f t="shared" ca="1" si="2"/>
        <v>0.58331798492408526</v>
      </c>
      <c r="T14" s="183" cm="1">
        <f t="array" aca="1" ref="T14" ca="1">+N14-(H14^{2}/(G14*2))</f>
        <v>353.14211988227555</v>
      </c>
      <c r="U14" s="33">
        <f t="shared" si="3"/>
        <v>0.28473241271689226</v>
      </c>
      <c r="V14" s="185">
        <f t="shared" ca="1" si="16"/>
        <v>349.72499258142562</v>
      </c>
      <c r="W14" s="184">
        <f t="shared" ca="1" si="17"/>
        <v>160.39900280678526</v>
      </c>
      <c r="X14" s="126">
        <f t="shared" ca="1" si="4"/>
        <v>1.5453093898552452</v>
      </c>
      <c r="Y14" s="94">
        <f t="shared" si="5"/>
        <v>0.5</v>
      </c>
      <c r="Z14" s="95" cm="1">
        <f t="array" ref="Z14">1-(K14/J14)^{2}</f>
        <v>0.40888660334345173</v>
      </c>
      <c r="AA14" s="96" cm="1">
        <f t="array" ref="AA14">1-(H14/I14)^{2}</f>
        <v>0.40888660334345173</v>
      </c>
      <c r="AB14" s="92"/>
    </row>
    <row r="15" spans="1:30" ht="15" thickBot="1">
      <c r="A15" s="26">
        <v>5</v>
      </c>
      <c r="B15" s="35">
        <v>1</v>
      </c>
      <c r="C15" s="28">
        <v>30</v>
      </c>
      <c r="D15" s="143">
        <f t="shared" si="6"/>
        <v>48.25365294491656</v>
      </c>
      <c r="E15" s="149">
        <f t="shared" si="7"/>
        <v>30</v>
      </c>
      <c r="F15" s="150">
        <f t="shared" si="8"/>
        <v>48.25365294491656</v>
      </c>
      <c r="G15" s="175" cm="1">
        <f t="array" aca="1" ref="G15" ca="1">+($Y$4+$Y$5*T15+$Y$6*T15^{2}+$Y$7*T15^{3}+$Y$8*T15^{4})*F$7</f>
        <v>967.47610600282803</v>
      </c>
      <c r="H15" s="29">
        <f t="shared" si="9"/>
        <v>198.92947831041374</v>
      </c>
      <c r="I15" s="29">
        <f t="shared" si="10"/>
        <v>258.74010060083657</v>
      </c>
      <c r="J15" s="39">
        <f t="shared" si="11"/>
        <v>258.74010060083657</v>
      </c>
      <c r="K15" s="165">
        <f t="shared" si="12"/>
        <v>198.92947831041374</v>
      </c>
      <c r="L15" s="171">
        <f>0.95-0.1/($B$23-1)*(SUM($B$11:B15)-1)</f>
        <v>0.87</v>
      </c>
      <c r="M15" s="177">
        <f t="shared" si="13"/>
        <v>22.926984891865594</v>
      </c>
      <c r="N15" s="40">
        <f t="shared" si="14"/>
        <v>396.97851080697171</v>
      </c>
      <c r="O15" s="7">
        <f t="shared" si="15"/>
        <v>244.81364910882473</v>
      </c>
      <c r="P15" s="116">
        <f t="shared" si="0"/>
        <v>1.1940535422248719</v>
      </c>
      <c r="Q15" s="41">
        <v>1</v>
      </c>
      <c r="R15" s="181">
        <f t="shared" ca="1" si="1"/>
        <v>0.75869979343144023</v>
      </c>
      <c r="S15" s="182">
        <f t="shared" ca="1" si="2"/>
        <v>0.58331798492408526</v>
      </c>
      <c r="T15" s="183" cm="1">
        <f t="array" aca="1" ref="T15" ca="1">+N15-(H15^{2}/(G15*2))</f>
        <v>376.52687531162559</v>
      </c>
      <c r="U15" s="33">
        <f t="shared" si="3"/>
        <v>0.27833393153224306</v>
      </c>
      <c r="V15" s="185">
        <f t="shared" ca="1" si="16"/>
        <v>371.68463741147298</v>
      </c>
      <c r="W15" s="184">
        <f t="shared" ca="1" si="17"/>
        <v>194.42955059798879</v>
      </c>
      <c r="X15" s="126">
        <f t="shared" ca="1" si="4"/>
        <v>1.7624958801069148</v>
      </c>
      <c r="Y15" s="94">
        <f t="shared" si="5"/>
        <v>0.5</v>
      </c>
      <c r="Z15" s="95" cm="1">
        <f t="array" ref="Z15">1-(K15/J15)^{2}</f>
        <v>0.40888660334345173</v>
      </c>
      <c r="AA15" s="96" cm="1">
        <f t="array" ref="AA15">1-(H15/I15)^{2}</f>
        <v>0.40888660334345173</v>
      </c>
      <c r="AB15" s="92"/>
    </row>
    <row r="16" spans="1:30" ht="15" thickBot="1">
      <c r="A16" s="26">
        <v>6</v>
      </c>
      <c r="B16" s="35">
        <v>1</v>
      </c>
      <c r="C16" s="28">
        <v>28</v>
      </c>
      <c r="D16" s="143">
        <f t="shared" si="6"/>
        <v>49.133596738075283</v>
      </c>
      <c r="E16" s="149">
        <f t="shared" si="7"/>
        <v>28</v>
      </c>
      <c r="F16" s="150">
        <f t="shared" si="8"/>
        <v>49.133596738075283</v>
      </c>
      <c r="G16" s="175" cm="1">
        <f t="array" aca="1" ref="G16" ca="1">+($Y$4+$Y$5*T16+$Y$6*T16^{2}+$Y$7*T16^{3}+$Y$8*T16^{4})*F$7</f>
        <v>964.62300584750074</v>
      </c>
      <c r="H16" s="29">
        <f t="shared" si="9"/>
        <v>195.11688255537217</v>
      </c>
      <c r="I16" s="29">
        <f t="shared" si="10"/>
        <v>263.30222075300571</v>
      </c>
      <c r="J16" s="39">
        <f>+$V$3/COS(F16*PI()/180)</f>
        <v>263.30222075300571</v>
      </c>
      <c r="K16" s="165">
        <f>+$V$3/COS(E16*PI()/180)</f>
        <v>195.11688255537217</v>
      </c>
      <c r="L16" s="171">
        <f>0.95-0.1/($B$23-1)*(SUM($B$11:B16)-1)</f>
        <v>0.85</v>
      </c>
      <c r="M16" s="177">
        <f t="shared" si="13"/>
        <v>26.164116236918471</v>
      </c>
      <c r="N16" s="40">
        <f t="shared" si="14"/>
        <v>419.90549569883729</v>
      </c>
      <c r="O16" s="7">
        <f t="shared" si="15"/>
        <v>292.32060490338904</v>
      </c>
      <c r="P16" s="116">
        <f t="shared" si="0"/>
        <v>1.2104220364489899</v>
      </c>
      <c r="Q16" s="41">
        <v>1</v>
      </c>
      <c r="R16" s="181">
        <f t="shared" ca="1" si="1"/>
        <v>0.77207723128905292</v>
      </c>
      <c r="S16" s="182">
        <f t="shared" ca="1" si="2"/>
        <v>0.5721383664379267</v>
      </c>
      <c r="T16" s="183" cm="1">
        <f t="array" aca="1" ref="T16" ca="1">+N16-(H16^{2}/(G16*2))</f>
        <v>400.17208812544089</v>
      </c>
      <c r="U16" s="33">
        <f t="shared" si="3"/>
        <v>0.31763275335309649</v>
      </c>
      <c r="V16" s="185">
        <f t="shared" ca="1" si="16"/>
        <v>394.10410598453694</v>
      </c>
      <c r="W16" s="184">
        <f ca="1">+O16/(1+($F$5-1)*S16^2/2)^($F$6)</f>
        <v>234.13553490441151</v>
      </c>
      <c r="X16" s="126">
        <f t="shared" ca="1" si="4"/>
        <v>2.0016900088680378</v>
      </c>
      <c r="Y16" s="94">
        <f>0.5-(L16*(0.5*(TAN(C16*PI()/180)-TAN(E16*PI()/180))))</f>
        <v>0.5</v>
      </c>
      <c r="Z16" s="95" cm="1">
        <f t="array" ref="Z16">1-(K16/J16)^{2}</f>
        <v>0.45086306816821797</v>
      </c>
      <c r="AA16" s="96" cm="1">
        <f t="array" ref="AA16">1-(H16/I16)^{2}</f>
        <v>0.45086306816821797</v>
      </c>
      <c r="AB16" s="92"/>
    </row>
    <row r="17" spans="1:28" ht="14.25">
      <c r="A17" s="26">
        <v>7</v>
      </c>
      <c r="B17" s="35">
        <v>0</v>
      </c>
      <c r="C17" s="28"/>
      <c r="D17" s="143"/>
      <c r="E17" s="149"/>
      <c r="F17" s="150"/>
      <c r="G17" s="36"/>
      <c r="H17" s="37"/>
      <c r="I17" s="38"/>
      <c r="J17" s="39"/>
      <c r="K17" s="165"/>
      <c r="L17" s="171">
        <f>0.95-0.1/($B$23-1)*(SUM($B$11:B17)-1)</f>
        <v>0.85</v>
      </c>
      <c r="M17" s="177"/>
      <c r="N17" s="40"/>
      <c r="O17" s="7"/>
      <c r="P17" s="116">
        <v>1</v>
      </c>
      <c r="Q17" s="41"/>
      <c r="R17" s="181"/>
      <c r="S17" s="182"/>
      <c r="T17" s="176"/>
      <c r="U17" s="42"/>
      <c r="V17" s="43"/>
      <c r="W17" s="127"/>
      <c r="X17" s="128"/>
      <c r="Y17" s="94"/>
      <c r="Z17" s="95"/>
      <c r="AA17" s="96"/>
      <c r="AB17" s="92"/>
    </row>
    <row r="18" spans="1:28" ht="14.25">
      <c r="A18" s="26">
        <v>8</v>
      </c>
      <c r="B18" s="35">
        <v>0</v>
      </c>
      <c r="C18" s="28"/>
      <c r="D18" s="143"/>
      <c r="E18" s="149"/>
      <c r="F18" s="150"/>
      <c r="G18" s="36"/>
      <c r="H18" s="37"/>
      <c r="I18" s="38"/>
      <c r="J18" s="39"/>
      <c r="K18" s="165"/>
      <c r="L18" s="171">
        <f>0.95-0.1/($B$23-1)*(SUM($B$11:B18)-1)</f>
        <v>0.85</v>
      </c>
      <c r="M18" s="168"/>
      <c r="N18" s="40"/>
      <c r="O18" s="7"/>
      <c r="P18" s="116">
        <v>1</v>
      </c>
      <c r="Q18" s="41"/>
      <c r="R18" s="117"/>
      <c r="S18" s="7"/>
      <c r="T18" s="123"/>
      <c r="U18" s="42"/>
      <c r="V18" s="43"/>
      <c r="W18" s="127"/>
      <c r="X18" s="128"/>
      <c r="Y18" s="97"/>
      <c r="Z18" s="90"/>
      <c r="AA18" s="98"/>
      <c r="AB18" s="92"/>
    </row>
    <row r="19" spans="1:28" ht="14.25">
      <c r="A19" s="26">
        <v>9</v>
      </c>
      <c r="B19" s="35">
        <v>0</v>
      </c>
      <c r="C19" s="28"/>
      <c r="D19" s="143"/>
      <c r="E19" s="149"/>
      <c r="F19" s="150"/>
      <c r="G19" s="36"/>
      <c r="H19" s="37"/>
      <c r="I19" s="38"/>
      <c r="J19" s="39"/>
      <c r="K19" s="165"/>
      <c r="L19" s="171">
        <f>0.95-0.1/($B$23-1)*(SUM($B$11:B19)-1)</f>
        <v>0.85</v>
      </c>
      <c r="M19" s="168"/>
      <c r="N19" s="40"/>
      <c r="O19" s="7"/>
      <c r="P19" s="116">
        <v>1</v>
      </c>
      <c r="Q19" s="41"/>
      <c r="R19" s="117"/>
      <c r="S19" s="7"/>
      <c r="T19" s="123"/>
      <c r="U19" s="42"/>
      <c r="V19" s="43"/>
      <c r="W19" s="127"/>
      <c r="X19" s="128"/>
      <c r="Y19" s="97"/>
      <c r="Z19" s="90"/>
      <c r="AA19" s="98"/>
      <c r="AB19" s="92"/>
    </row>
    <row r="20" spans="1:28" ht="14.25">
      <c r="A20" s="26">
        <v>10</v>
      </c>
      <c r="B20" s="35">
        <v>0</v>
      </c>
      <c r="C20" s="28"/>
      <c r="D20" s="143"/>
      <c r="E20" s="149"/>
      <c r="F20" s="150"/>
      <c r="G20" s="36"/>
      <c r="H20" s="37"/>
      <c r="I20" s="38"/>
      <c r="J20" s="39"/>
      <c r="K20" s="165"/>
      <c r="L20" s="171">
        <f>0.95-0.1/($B$23-1)*(SUM($B$11:B20)-1)</f>
        <v>0.85</v>
      </c>
      <c r="M20" s="168"/>
      <c r="N20" s="40"/>
      <c r="O20" s="7"/>
      <c r="P20" s="116">
        <v>1</v>
      </c>
      <c r="Q20" s="41"/>
      <c r="R20" s="117"/>
      <c r="S20" s="7"/>
      <c r="T20" s="123"/>
      <c r="U20" s="42"/>
      <c r="V20" s="43"/>
      <c r="W20" s="127"/>
      <c r="X20" s="128"/>
      <c r="Y20" s="97"/>
      <c r="Z20" s="90"/>
      <c r="AA20" s="98"/>
      <c r="AB20" s="92"/>
    </row>
    <row r="21" spans="1:28" ht="14.25">
      <c r="A21" s="26">
        <v>11</v>
      </c>
      <c r="B21" s="35">
        <v>0</v>
      </c>
      <c r="C21" s="28"/>
      <c r="D21" s="143"/>
      <c r="E21" s="149"/>
      <c r="F21" s="150"/>
      <c r="G21" s="36"/>
      <c r="H21" s="37"/>
      <c r="I21" s="38"/>
      <c r="J21" s="39"/>
      <c r="K21" s="165"/>
      <c r="L21" s="171">
        <f>0.95-0.1/($B$23-1)*(SUM($B$11:B21)-1)</f>
        <v>0.85</v>
      </c>
      <c r="M21" s="168"/>
      <c r="N21" s="40"/>
      <c r="O21" s="7"/>
      <c r="P21" s="116">
        <v>1</v>
      </c>
      <c r="Q21" s="41"/>
      <c r="R21" s="117"/>
      <c r="S21" s="7"/>
      <c r="T21" s="123"/>
      <c r="U21" s="42"/>
      <c r="V21" s="43"/>
      <c r="W21" s="127"/>
      <c r="X21" s="128"/>
      <c r="Y21" s="97"/>
      <c r="Z21" s="90"/>
      <c r="AA21" s="98"/>
      <c r="AB21" s="92"/>
    </row>
    <row r="22" spans="1:28" ht="15" thickBot="1">
      <c r="A22" s="26">
        <v>12</v>
      </c>
      <c r="B22" s="44">
        <v>0</v>
      </c>
      <c r="C22" s="45"/>
      <c r="D22" s="144"/>
      <c r="E22" s="151"/>
      <c r="F22" s="152"/>
      <c r="G22" s="46"/>
      <c r="H22" s="47"/>
      <c r="I22" s="48"/>
      <c r="J22" s="49"/>
      <c r="K22" s="166"/>
      <c r="L22" s="173">
        <f>0.95-0.1/($B$23-1)*(SUM($B$11:B22)-1)</f>
        <v>0.85</v>
      </c>
      <c r="M22" s="169"/>
      <c r="N22" s="50"/>
      <c r="O22" s="119"/>
      <c r="P22" s="116">
        <v>1</v>
      </c>
      <c r="Q22" s="51"/>
      <c r="R22" s="118"/>
      <c r="S22" s="9"/>
      <c r="T22" s="124"/>
      <c r="U22" s="52"/>
      <c r="V22" s="53"/>
      <c r="W22" s="129"/>
      <c r="X22" s="130"/>
      <c r="Y22" s="99"/>
      <c r="Z22" s="100"/>
      <c r="AA22" s="101"/>
      <c r="AB22" s="93"/>
    </row>
    <row r="23" spans="1:28" ht="15" thickBot="1">
      <c r="B23" s="163">
        <f>SUM(B11:B22)</f>
        <v>6</v>
      </c>
      <c r="L23" s="114" t="s">
        <v>58</v>
      </c>
      <c r="M23">
        <f>AVERAGE(M11:M16)</f>
        <v>24.344935322625957</v>
      </c>
      <c r="O23" s="121" t="s">
        <v>60</v>
      </c>
      <c r="P23" s="120">
        <f>PRODUCT(P11:P22)</f>
        <v>3.5032802166649577</v>
      </c>
      <c r="AB23" s="122"/>
    </row>
    <row r="24" spans="1:28" ht="15.75" customHeight="1" thickBot="1">
      <c r="L24" s="114" t="s">
        <v>59</v>
      </c>
      <c r="M24">
        <f>STDEV(M11:M16)</f>
        <v>1.1618257320085192</v>
      </c>
    </row>
    <row r="25" spans="1:28" ht="13.5" thickBot="1">
      <c r="I25" s="54" t="s">
        <v>12</v>
      </c>
      <c r="J25" s="55"/>
      <c r="K25" s="55"/>
      <c r="L25" s="56"/>
      <c r="M25" s="54" t="s">
        <v>13</v>
      </c>
      <c r="N25" s="55"/>
      <c r="O25" s="55"/>
      <c r="P25" s="56"/>
    </row>
    <row r="26" spans="1:28" ht="19.5" thickBot="1">
      <c r="B26" s="23"/>
      <c r="C26" s="24" t="s">
        <v>51</v>
      </c>
      <c r="D26" s="25" t="s">
        <v>14</v>
      </c>
      <c r="E26" s="25" t="s">
        <v>27</v>
      </c>
      <c r="F26" s="25" t="s">
        <v>26</v>
      </c>
      <c r="G26" s="25" t="s">
        <v>52</v>
      </c>
      <c r="H26" s="57" t="s">
        <v>95</v>
      </c>
      <c r="I26" s="58" t="s">
        <v>15</v>
      </c>
      <c r="J26" s="59" t="s">
        <v>16</v>
      </c>
      <c r="K26" s="59" t="s">
        <v>53</v>
      </c>
      <c r="L26" s="60" t="s">
        <v>17</v>
      </c>
      <c r="M26" s="61" t="s">
        <v>15</v>
      </c>
      <c r="N26" s="62" t="s">
        <v>16</v>
      </c>
      <c r="O26" s="63" t="s">
        <v>54</v>
      </c>
      <c r="P26" s="64" t="s">
        <v>17</v>
      </c>
      <c r="Q26" s="24" t="s">
        <v>55</v>
      </c>
      <c r="R26" s="25" t="s">
        <v>18</v>
      </c>
      <c r="S26" s="25" t="s">
        <v>56</v>
      </c>
      <c r="T26" s="57" t="s">
        <v>57</v>
      </c>
      <c r="U26" s="186" t="s">
        <v>96</v>
      </c>
      <c r="V26" s="162" t="s">
        <v>100</v>
      </c>
      <c r="X26" s="162" t="s">
        <v>101</v>
      </c>
    </row>
    <row r="27" spans="1:28" ht="12.75">
      <c r="A27" s="26">
        <v>1</v>
      </c>
      <c r="B27" s="27">
        <v>1</v>
      </c>
      <c r="C27" s="65">
        <f ca="1">$C$2/($V$3*X11)</f>
        <v>0.30682003606198066</v>
      </c>
      <c r="D27" s="66"/>
      <c r="E27" s="66">
        <f>+O2*C6</f>
        <v>0.17512610575764659</v>
      </c>
      <c r="F27" s="66">
        <f>+SQRT(L3/PI()/(1-C6^2))</f>
        <v>0.35025221151529318</v>
      </c>
      <c r="G27" s="66">
        <f>F27-E27</f>
        <v>0.17512610575764659</v>
      </c>
      <c r="H27" s="67">
        <f>3</f>
        <v>3</v>
      </c>
      <c r="I27" s="68" t="s">
        <v>94</v>
      </c>
      <c r="J27" s="69">
        <v>1.25</v>
      </c>
      <c r="K27" s="69">
        <v>40</v>
      </c>
      <c r="L27" s="70">
        <f>ROUND(2*PI()*$O$3/(Q27/J27),0)</f>
        <v>37</v>
      </c>
      <c r="M27" s="71" t="s">
        <v>94</v>
      </c>
      <c r="N27" s="72">
        <v>1.25</v>
      </c>
      <c r="O27" s="72">
        <v>40</v>
      </c>
      <c r="P27" s="81">
        <f>ROUNDUP(2*PI()*$O$3/(Q27/J27),0)</f>
        <v>38</v>
      </c>
      <c r="Q27" s="65">
        <f>G27*(1/H27)</f>
        <v>5.8375368585882194E-2</v>
      </c>
      <c r="R27" s="66">
        <f>0.1*S27</f>
        <v>1.1675073717176439E-2</v>
      </c>
      <c r="S27" s="66">
        <f>2*Q27</f>
        <v>0.11675073717176439</v>
      </c>
      <c r="T27" s="67">
        <f>E27/F27</f>
        <v>0.5</v>
      </c>
      <c r="U27" s="92">
        <f>S27+R27</f>
        <v>0.12842581088894084</v>
      </c>
      <c r="V27">
        <v>0</v>
      </c>
    </row>
    <row r="28" spans="1:28" ht="12.75">
      <c r="A28" s="26">
        <v>2</v>
      </c>
      <c r="B28" s="35">
        <v>1</v>
      </c>
      <c r="C28" s="65">
        <f t="shared" ref="C28:C32" ca="1" si="18">$C$2/($V$3*X12)</f>
        <v>0.25363594234941034</v>
      </c>
      <c r="D28" s="20"/>
      <c r="E28" s="20" cm="1">
        <f t="array" aca="1" ref="E28" ca="1">SQRT($O$3^{2}-(C28/(2*PI())))</f>
        <v>0.19053993892073232</v>
      </c>
      <c r="F28" s="20" cm="1">
        <f t="array" aca="1" ref="F28" ca="1">SQRT($O$3^{2}+(C28/(2*PI())))</f>
        <v>0.3421115260631768</v>
      </c>
      <c r="G28" s="66">
        <f t="shared" ref="G28:G32" ca="1" si="19">F28-E28</f>
        <v>0.15157158714244448</v>
      </c>
      <c r="H28" s="75">
        <f>H27-0.3</f>
        <v>2.7</v>
      </c>
      <c r="I28" s="68" t="s">
        <v>94</v>
      </c>
      <c r="J28" s="69">
        <v>1.25</v>
      </c>
      <c r="K28" s="77">
        <v>40</v>
      </c>
      <c r="L28" s="70">
        <f t="shared" ref="L28:L32" ca="1" si="20">ROUND(2*PI()*$O$3/(Q28/J28),0)</f>
        <v>39</v>
      </c>
      <c r="M28" s="79" t="s">
        <v>94</v>
      </c>
      <c r="N28" s="80">
        <v>1.25</v>
      </c>
      <c r="O28" s="80">
        <v>40</v>
      </c>
      <c r="P28" s="81">
        <f t="shared" ref="P28:P32" ca="1" si="21">ROUNDUP(2*PI()*$O$3/(Q28/J28),0)</f>
        <v>39</v>
      </c>
      <c r="Q28" s="65">
        <f t="shared" ref="Q28:Q32" ca="1" si="22">G28*(1/H28)</f>
        <v>5.6137624867572025E-2</v>
      </c>
      <c r="R28" s="66">
        <f t="shared" ref="R28:R32" ca="1" si="23">0.1*S28</f>
        <v>1.1227524973514405E-2</v>
      </c>
      <c r="S28" s="66">
        <f t="shared" ref="S28:S32" ca="1" si="24">2*Q28</f>
        <v>0.11227524973514405</v>
      </c>
      <c r="T28" s="67">
        <f t="shared" ref="T28:T31" ca="1" si="25">E28/F28</f>
        <v>0.55695270227623328</v>
      </c>
      <c r="U28" s="92">
        <f t="shared" ref="U28:U32" ca="1" si="26">S28+R28</f>
        <v>0.12350277470865846</v>
      </c>
      <c r="V28">
        <f>0.6*S27</f>
        <v>7.0050442303058624E-2</v>
      </c>
      <c r="X28">
        <f>$O$3</f>
        <v>0.2768986859748454</v>
      </c>
    </row>
    <row r="29" spans="1:28" ht="12.75">
      <c r="A29" s="26">
        <v>3</v>
      </c>
      <c r="B29" s="35">
        <v>1</v>
      </c>
      <c r="C29" s="65">
        <f t="shared" ca="1" si="18"/>
        <v>0.21676010856551547</v>
      </c>
      <c r="D29" s="20"/>
      <c r="E29" s="20" cm="1">
        <f t="array" aca="1" ref="E29" ca="1">SQRT($O$3^{2}-(C29/(2*PI())))</f>
        <v>0.20536416325946058</v>
      </c>
      <c r="F29" s="20" cm="1">
        <f t="array" aca="1" ref="F29" ca="1">SQRT($O$3^{2}+(C29/(2*PI())))</f>
        <v>0.33342364199008701</v>
      </c>
      <c r="G29" s="66">
        <f t="shared" ca="1" si="19"/>
        <v>0.12805947873062642</v>
      </c>
      <c r="H29" s="75">
        <f t="shared" ref="H29:H32" si="27">H28-0.3</f>
        <v>2.4000000000000004</v>
      </c>
      <c r="I29" s="76" t="s">
        <v>94</v>
      </c>
      <c r="J29" s="69">
        <v>1</v>
      </c>
      <c r="K29" s="77">
        <v>37.5</v>
      </c>
      <c r="L29" s="70">
        <f t="shared" ca="1" si="20"/>
        <v>33</v>
      </c>
      <c r="M29" s="79" t="s">
        <v>99</v>
      </c>
      <c r="N29" s="80">
        <v>1</v>
      </c>
      <c r="O29" s="80">
        <v>37.5</v>
      </c>
      <c r="P29" s="81">
        <f t="shared" ca="1" si="21"/>
        <v>33</v>
      </c>
      <c r="Q29" s="65">
        <f t="shared" ca="1" si="22"/>
        <v>5.3358116137761008E-2</v>
      </c>
      <c r="R29" s="66">
        <f t="shared" ca="1" si="23"/>
        <v>1.0671623227552203E-2</v>
      </c>
      <c r="S29" s="66">
        <f t="shared" ca="1" si="24"/>
        <v>0.10671623227552202</v>
      </c>
      <c r="T29" s="67">
        <f t="shared" ca="1" si="25"/>
        <v>0.61592561953230129</v>
      </c>
      <c r="U29" s="92">
        <f t="shared" ca="1" si="26"/>
        <v>0.11738785550307422</v>
      </c>
      <c r="V29">
        <f t="shared" ref="V29:V34" si="28">V28+U27</f>
        <v>0.19847625319199946</v>
      </c>
      <c r="X29">
        <f t="shared" ref="X29:X33" si="29">$O$3</f>
        <v>0.2768986859748454</v>
      </c>
    </row>
    <row r="30" spans="1:28" ht="12.75">
      <c r="A30" s="26">
        <v>4</v>
      </c>
      <c r="B30" s="35">
        <v>1</v>
      </c>
      <c r="C30" s="65">
        <f t="shared" ca="1" si="18"/>
        <v>0.18781262615445185</v>
      </c>
      <c r="D30" s="20"/>
      <c r="E30" s="20" cm="1">
        <f t="array" aca="1" ref="E30" ca="1">SQRT($O$3^{2}-(C30/(2*PI())))</f>
        <v>0.21629048630729197</v>
      </c>
      <c r="F30" s="20" cm="1">
        <f t="array" aca="1" ref="F30" ca="1">SQRT($O$3^{2}+(C30/(2*PI())))</f>
        <v>0.32644171014462481</v>
      </c>
      <c r="G30" s="66">
        <f t="shared" ca="1" si="19"/>
        <v>0.11015122383733283</v>
      </c>
      <c r="H30" s="75">
        <f t="shared" si="27"/>
        <v>2.1000000000000005</v>
      </c>
      <c r="I30" s="76" t="s">
        <v>94</v>
      </c>
      <c r="J30" s="69">
        <v>1</v>
      </c>
      <c r="K30" s="77">
        <v>37.5</v>
      </c>
      <c r="L30" s="70">
        <f t="shared" ca="1" si="20"/>
        <v>33</v>
      </c>
      <c r="M30" s="79" t="s">
        <v>94</v>
      </c>
      <c r="N30" s="80">
        <v>1</v>
      </c>
      <c r="O30" s="80">
        <v>37.5</v>
      </c>
      <c r="P30" s="81">
        <f t="shared" ca="1" si="21"/>
        <v>34</v>
      </c>
      <c r="Q30" s="65">
        <f t="shared" ca="1" si="22"/>
        <v>5.2452963732063242E-2</v>
      </c>
      <c r="R30" s="66">
        <f t="shared" ca="1" si="23"/>
        <v>1.0490592746412649E-2</v>
      </c>
      <c r="S30" s="66">
        <f t="shared" ca="1" si="24"/>
        <v>0.10490592746412648</v>
      </c>
      <c r="T30" s="67">
        <f t="shared" ca="1" si="25"/>
        <v>0.66257000740336736</v>
      </c>
      <c r="U30" s="92">
        <f t="shared" ca="1" si="26"/>
        <v>0.11539652021053913</v>
      </c>
      <c r="V30">
        <f t="shared" ca="1" si="28"/>
        <v>0.32197902790065791</v>
      </c>
      <c r="X30">
        <f t="shared" si="29"/>
        <v>0.2768986859748454</v>
      </c>
    </row>
    <row r="31" spans="1:28" ht="12.75">
      <c r="A31" s="26">
        <v>5</v>
      </c>
      <c r="B31" s="35">
        <v>1</v>
      </c>
      <c r="C31" s="65">
        <f t="shared" ca="1" si="18"/>
        <v>0.1646691024958547</v>
      </c>
      <c r="D31" s="20"/>
      <c r="E31" s="20" cm="1">
        <f t="array" aca="1" ref="E31" ca="1">SQRT($O$3^{2}-(C31/(2*PI())))</f>
        <v>0.22464412001624884</v>
      </c>
      <c r="F31" s="20" cm="1">
        <f t="array" aca="1" ref="F31" ca="1">SQRT($O$3^{2}+(C31/(2*PI())))</f>
        <v>0.32075034517723794</v>
      </c>
      <c r="G31" s="66">
        <f t="shared" ca="1" si="19"/>
        <v>9.6106225160989101E-2</v>
      </c>
      <c r="H31" s="75">
        <f t="shared" si="27"/>
        <v>1.8000000000000005</v>
      </c>
      <c r="I31" s="76" t="s">
        <v>98</v>
      </c>
      <c r="J31" s="69">
        <v>1</v>
      </c>
      <c r="K31" s="77">
        <v>35</v>
      </c>
      <c r="L31" s="70">
        <f t="shared" ca="1" si="20"/>
        <v>33</v>
      </c>
      <c r="M31" s="79" t="s">
        <v>98</v>
      </c>
      <c r="N31" s="80">
        <v>1</v>
      </c>
      <c r="O31" s="80">
        <v>35</v>
      </c>
      <c r="P31" s="81">
        <f t="shared" ca="1" si="21"/>
        <v>33</v>
      </c>
      <c r="Q31" s="65">
        <f t="shared" ca="1" si="22"/>
        <v>5.3392347311660593E-2</v>
      </c>
      <c r="R31" s="66">
        <f t="shared" ca="1" si="23"/>
        <v>1.067846946233212E-2</v>
      </c>
      <c r="S31" s="66">
        <f t="shared" ca="1" si="24"/>
        <v>0.10678469462332119</v>
      </c>
      <c r="T31" s="67">
        <f t="shared" ca="1" si="25"/>
        <v>0.7003706259212803</v>
      </c>
      <c r="U31" s="92">
        <f t="shared" ca="1" si="26"/>
        <v>0.1174631640856533</v>
      </c>
      <c r="V31">
        <f t="shared" ca="1" si="28"/>
        <v>0.43936688340373214</v>
      </c>
      <c r="X31">
        <f t="shared" si="29"/>
        <v>0.2768986859748454</v>
      </c>
    </row>
    <row r="32" spans="1:28" ht="12.75">
      <c r="A32" s="26">
        <v>6</v>
      </c>
      <c r="B32" s="35">
        <v>1</v>
      </c>
      <c r="C32" s="65">
        <f t="shared" ca="1" si="18"/>
        <v>0.14499178866060905</v>
      </c>
      <c r="D32" s="20"/>
      <c r="E32" s="20" cm="1">
        <f t="array" aca="1" ref="E32" ca="1">SQRT($O$3^{2}-(C32/(2*PI())))</f>
        <v>0.23150965945619786</v>
      </c>
      <c r="F32" s="20" cm="1">
        <f t="array" aca="1" ref="F32" ca="1">SQRT($O$3^{2}+(C32/(2*PI())))</f>
        <v>0.31583071758090187</v>
      </c>
      <c r="G32" s="66">
        <f t="shared" ca="1" si="19"/>
        <v>8.4321058124704001E-2</v>
      </c>
      <c r="H32" s="75">
        <f t="shared" si="27"/>
        <v>1.5000000000000004</v>
      </c>
      <c r="I32" s="76" t="s">
        <v>98</v>
      </c>
      <c r="J32" s="69">
        <v>1</v>
      </c>
      <c r="K32" s="77">
        <v>35</v>
      </c>
      <c r="L32" s="70">
        <f t="shared" ca="1" si="20"/>
        <v>31</v>
      </c>
      <c r="M32" s="79" t="s">
        <v>98</v>
      </c>
      <c r="N32" s="80">
        <v>1</v>
      </c>
      <c r="O32" s="80">
        <v>35</v>
      </c>
      <c r="P32" s="81">
        <f t="shared" ca="1" si="21"/>
        <v>31</v>
      </c>
      <c r="Q32" s="65">
        <f t="shared" ca="1" si="22"/>
        <v>5.6214038749802658E-2</v>
      </c>
      <c r="R32" s="66">
        <f t="shared" ca="1" si="23"/>
        <v>1.1242807749960532E-2</v>
      </c>
      <c r="S32" s="66">
        <f t="shared" ca="1" si="24"/>
        <v>0.11242807749960532</v>
      </c>
      <c r="T32" s="67">
        <f ca="1">E32/F32</f>
        <v>0.73301818527798934</v>
      </c>
      <c r="U32" s="92">
        <f t="shared" ca="1" si="26"/>
        <v>0.12367088524956585</v>
      </c>
      <c r="V32">
        <f t="shared" ca="1" si="28"/>
        <v>0.55476340361427123</v>
      </c>
      <c r="X32">
        <f t="shared" si="29"/>
        <v>0.2768986859748454</v>
      </c>
    </row>
    <row r="33" spans="1:24" ht="12.75">
      <c r="A33" s="26">
        <v>7</v>
      </c>
      <c r="B33" s="35">
        <v>0</v>
      </c>
      <c r="C33" s="65" cm="1">
        <f t="array" ref="C33">PI()*(F33^{2}-E33^{2})</f>
        <v>0</v>
      </c>
      <c r="D33" s="20"/>
      <c r="E33" s="20"/>
      <c r="F33" s="20"/>
      <c r="G33" s="20"/>
      <c r="H33" s="75"/>
      <c r="I33" s="76"/>
      <c r="J33" s="77"/>
      <c r="K33" s="77"/>
      <c r="L33" s="78"/>
      <c r="M33" s="79"/>
      <c r="N33" s="80"/>
      <c r="O33" s="80"/>
      <c r="P33" s="81"/>
      <c r="Q33" s="74"/>
      <c r="R33" s="20"/>
      <c r="S33" s="20"/>
      <c r="T33" s="75"/>
      <c r="U33" s="92"/>
      <c r="V33">
        <f t="shared" ca="1" si="28"/>
        <v>0.6722265676999245</v>
      </c>
      <c r="W33" t="s">
        <v>97</v>
      </c>
      <c r="X33">
        <f t="shared" si="29"/>
        <v>0.2768986859748454</v>
      </c>
    </row>
    <row r="34" spans="1:24" ht="12.75">
      <c r="A34" s="26">
        <v>8</v>
      </c>
      <c r="B34" s="35">
        <v>0</v>
      </c>
      <c r="C34" s="65" cm="1">
        <f t="array" ref="C34">PI()*(F34^{2}-E34^{2})</f>
        <v>0</v>
      </c>
      <c r="D34" s="20"/>
      <c r="E34" s="20"/>
      <c r="F34" s="20"/>
      <c r="G34" s="20"/>
      <c r="H34" s="75"/>
      <c r="I34" s="76"/>
      <c r="J34" s="77"/>
      <c r="K34" s="77"/>
      <c r="L34" s="78"/>
      <c r="M34" s="79"/>
      <c r="N34" s="80"/>
      <c r="O34" s="80"/>
      <c r="P34" s="81"/>
      <c r="Q34" s="74"/>
      <c r="R34" s="20"/>
      <c r="S34" s="20"/>
      <c r="T34" s="75"/>
      <c r="U34" s="92"/>
      <c r="V34">
        <f t="shared" ca="1" si="28"/>
        <v>0.79589745294949032</v>
      </c>
      <c r="W34">
        <f ca="1">SUM(U27:U32)</f>
        <v>0.72584701064643176</v>
      </c>
    </row>
    <row r="35" spans="1:24" ht="12.75">
      <c r="A35" s="26">
        <v>9</v>
      </c>
      <c r="B35" s="35">
        <v>0</v>
      </c>
      <c r="C35" s="65" cm="1">
        <f t="array" ref="C35">PI()*(F35^{2}-E35^{2})</f>
        <v>0</v>
      </c>
      <c r="D35" s="20"/>
      <c r="E35" s="20"/>
      <c r="F35" s="20"/>
      <c r="G35" s="20"/>
      <c r="H35" s="75"/>
      <c r="I35" s="76"/>
      <c r="J35" s="77"/>
      <c r="K35" s="77"/>
      <c r="L35" s="78"/>
      <c r="M35" s="79"/>
      <c r="N35" s="80"/>
      <c r="O35" s="80"/>
      <c r="P35" s="81"/>
      <c r="Q35" s="74"/>
      <c r="R35" s="20"/>
      <c r="S35" s="20"/>
      <c r="T35" s="75"/>
      <c r="U35" s="92"/>
    </row>
    <row r="36" spans="1:24" ht="13.5" thickBot="1">
      <c r="A36" s="26">
        <v>10</v>
      </c>
      <c r="B36" s="44">
        <v>0</v>
      </c>
      <c r="C36" s="65" cm="1">
        <f t="array" ref="C36">PI()*(F36^{2}-E36^{2})</f>
        <v>0</v>
      </c>
      <c r="D36" s="22"/>
      <c r="E36" s="22"/>
      <c r="F36" s="22"/>
      <c r="G36" s="22"/>
      <c r="H36" s="83"/>
      <c r="I36" s="84"/>
      <c r="J36" s="85"/>
      <c r="K36" s="85"/>
      <c r="L36" s="86"/>
      <c r="M36" s="87"/>
      <c r="N36" s="88"/>
      <c r="O36" s="88"/>
      <c r="P36" s="89"/>
      <c r="Q36" s="82"/>
      <c r="R36" s="22"/>
      <c r="S36" s="22"/>
      <c r="T36" s="83"/>
      <c r="U36" s="93"/>
    </row>
    <row r="48" spans="1:24" ht="15.75" customHeight="1">
      <c r="V48">
        <v>3</v>
      </c>
    </row>
    <row r="70" spans="7:23" ht="15.75" customHeight="1">
      <c r="V70">
        <v>4</v>
      </c>
    </row>
    <row r="72" spans="7:23" ht="15.75" customHeight="1">
      <c r="G72">
        <v>2</v>
      </c>
    </row>
    <row r="74" spans="7:23" ht="15.75" customHeight="1">
      <c r="W74">
        <v>4</v>
      </c>
    </row>
    <row r="96" spans="7:7" ht="15.75" customHeight="1">
      <c r="G96">
        <v>1</v>
      </c>
    </row>
  </sheetData>
  <mergeCells count="1">
    <mergeCell ref="H7:K7"/>
  </mergeCells>
  <conditionalFormatting sqref="L11:L22">
    <cfRule type="expression" dxfId="0" priority="1">
      <formula>B11=1</formula>
    </cfRule>
  </conditionalFormatting>
  <pageMargins left="0.7" right="0.7" top="0.75" bottom="0.75" header="0.3" footer="0.3"/>
  <ignoredErrors>
    <ignoredError sqref="L12:L2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2E61-72D6-48A3-A454-51839727D5AD}">
  <dimension ref="B1:AA31"/>
  <sheetViews>
    <sheetView tabSelected="1" topLeftCell="H1" zoomScaleNormal="100" workbookViewId="0">
      <selection activeCell="W15" sqref="W15:AA21"/>
    </sheetView>
  </sheetViews>
  <sheetFormatPr defaultRowHeight="12.75"/>
  <cols>
    <col min="2" max="2" width="9.42578125" bestFit="1" customWidth="1"/>
    <col min="3" max="3" width="9.7109375" bestFit="1" customWidth="1"/>
    <col min="4" max="6" width="9.85546875" bestFit="1" customWidth="1"/>
    <col min="7" max="8" width="9.7109375" bestFit="1" customWidth="1"/>
    <col min="9" max="10" width="9.28515625" bestFit="1" customWidth="1"/>
  </cols>
  <sheetData>
    <row r="1" spans="2:27">
      <c r="B1" s="197" t="s">
        <v>107</v>
      </c>
      <c r="C1" s="197" t="s">
        <v>103</v>
      </c>
      <c r="D1" s="197" t="s">
        <v>104</v>
      </c>
      <c r="E1" s="197" t="s">
        <v>105</v>
      </c>
      <c r="F1" s="197" t="s">
        <v>106</v>
      </c>
      <c r="I1" s="187" t="s">
        <v>107</v>
      </c>
      <c r="J1" s="188" t="s">
        <v>115</v>
      </c>
      <c r="K1" s="188" t="s">
        <v>116</v>
      </c>
      <c r="L1" s="188" t="s">
        <v>117</v>
      </c>
      <c r="M1" s="188" t="s">
        <v>118</v>
      </c>
    </row>
    <row r="2" spans="2:27">
      <c r="B2" s="198">
        <v>1</v>
      </c>
      <c r="C2" s="198">
        <v>30</v>
      </c>
      <c r="D2" s="198">
        <v>48.25365294491656</v>
      </c>
      <c r="E2" s="198">
        <v>30</v>
      </c>
      <c r="F2" s="198">
        <v>48.25365294491656</v>
      </c>
      <c r="I2" s="198">
        <v>1</v>
      </c>
      <c r="J2" s="198">
        <v>198.92947831041374</v>
      </c>
      <c r="K2" s="198">
        <v>258.74010060083657</v>
      </c>
      <c r="L2" s="198">
        <v>258.74010060083657</v>
      </c>
      <c r="M2" s="198">
        <v>198.92947831041374</v>
      </c>
    </row>
    <row r="3" spans="2:27">
      <c r="B3" s="198">
        <v>2</v>
      </c>
      <c r="C3" s="198">
        <v>30</v>
      </c>
      <c r="D3" s="198">
        <v>48.25365294491656</v>
      </c>
      <c r="E3" s="198">
        <v>30</v>
      </c>
      <c r="F3" s="198">
        <v>48.25365294491656</v>
      </c>
      <c r="I3" s="198">
        <v>2</v>
      </c>
      <c r="J3" s="198">
        <v>198.92947831041374</v>
      </c>
      <c r="K3" s="198">
        <v>258.74010060083657</v>
      </c>
      <c r="L3" s="198">
        <v>258.74010060083657</v>
      </c>
      <c r="M3" s="198">
        <v>198.92947831041374</v>
      </c>
    </row>
    <row r="4" spans="2:27">
      <c r="B4" s="198">
        <v>3</v>
      </c>
      <c r="C4" s="198">
        <v>30</v>
      </c>
      <c r="D4" s="198">
        <v>48.25365294491656</v>
      </c>
      <c r="E4" s="198">
        <v>30</v>
      </c>
      <c r="F4" s="198">
        <v>48.25365294491656</v>
      </c>
      <c r="I4" s="198">
        <v>3</v>
      </c>
      <c r="J4" s="198">
        <v>198.92947831041374</v>
      </c>
      <c r="K4" s="198">
        <v>258.74010060083657</v>
      </c>
      <c r="L4" s="198">
        <v>258.74010060083657</v>
      </c>
      <c r="M4" s="198">
        <v>198.92947831041374</v>
      </c>
    </row>
    <row r="5" spans="2:27">
      <c r="B5" s="198">
        <v>4</v>
      </c>
      <c r="C5" s="198">
        <v>30</v>
      </c>
      <c r="D5" s="198">
        <v>48.25365294491656</v>
      </c>
      <c r="E5" s="198">
        <v>30</v>
      </c>
      <c r="F5" s="198">
        <v>48.25365294491656</v>
      </c>
      <c r="I5" s="198">
        <v>4</v>
      </c>
      <c r="J5" s="198">
        <v>198.92947831041374</v>
      </c>
      <c r="K5" s="198">
        <v>258.74010060083657</v>
      </c>
      <c r="L5" s="198">
        <v>258.74010060083657</v>
      </c>
      <c r="M5" s="198">
        <v>198.92947831041374</v>
      </c>
    </row>
    <row r="6" spans="2:27">
      <c r="B6" s="198">
        <v>5</v>
      </c>
      <c r="C6" s="198">
        <v>30</v>
      </c>
      <c r="D6" s="198">
        <v>48.25365294491656</v>
      </c>
      <c r="E6" s="198">
        <v>30</v>
      </c>
      <c r="F6" s="198">
        <v>48.25365294491656</v>
      </c>
      <c r="I6" s="198">
        <v>5</v>
      </c>
      <c r="J6" s="198">
        <v>198.92947831041374</v>
      </c>
      <c r="K6" s="198">
        <v>258.74010060083657</v>
      </c>
      <c r="L6" s="198">
        <v>258.74010060083657</v>
      </c>
      <c r="M6" s="198">
        <v>198.92947831041374</v>
      </c>
    </row>
    <row r="7" spans="2:27">
      <c r="B7" s="198">
        <v>6</v>
      </c>
      <c r="C7" s="198">
        <v>28</v>
      </c>
      <c r="D7" s="198">
        <v>49.133596738075283</v>
      </c>
      <c r="E7" s="198">
        <v>28</v>
      </c>
      <c r="F7" s="198">
        <v>49.133596738075283</v>
      </c>
      <c r="I7" s="198">
        <v>6</v>
      </c>
      <c r="J7" s="198">
        <v>195.11688255537217</v>
      </c>
      <c r="K7" s="198">
        <v>263.30222075300571</v>
      </c>
      <c r="L7" s="198">
        <v>263.30222075300571</v>
      </c>
      <c r="M7" s="198">
        <v>195.11688255537217</v>
      </c>
    </row>
    <row r="14" spans="2:27">
      <c r="B14" s="193" t="s">
        <v>107</v>
      </c>
      <c r="C14" s="193" t="s">
        <v>108</v>
      </c>
      <c r="D14" s="193" t="s">
        <v>109</v>
      </c>
      <c r="E14" s="193" t="s">
        <v>5</v>
      </c>
      <c r="F14" s="193" t="s">
        <v>110</v>
      </c>
      <c r="G14" s="193" t="s">
        <v>111</v>
      </c>
      <c r="H14" s="193" t="s">
        <v>119</v>
      </c>
      <c r="O14" t="s">
        <v>12</v>
      </c>
      <c r="S14" t="s">
        <v>13</v>
      </c>
    </row>
    <row r="15" spans="2:27">
      <c r="B15" s="191">
        <v>1</v>
      </c>
      <c r="C15" s="191">
        <v>0.75869979343144023</v>
      </c>
      <c r="D15" s="191">
        <v>0.58331798492408526</v>
      </c>
      <c r="E15" s="191">
        <v>0.5</v>
      </c>
      <c r="F15" s="191">
        <v>0.40888660334345173</v>
      </c>
      <c r="G15" s="191">
        <v>0.40888660334345173</v>
      </c>
      <c r="H15" s="191">
        <v>1.2884838838476169</v>
      </c>
      <c r="I15" t="s">
        <v>107</v>
      </c>
      <c r="J15" s="114" t="s">
        <v>120</v>
      </c>
      <c r="K15" s="114" t="s">
        <v>121</v>
      </c>
      <c r="L15" s="114" t="s">
        <v>122</v>
      </c>
      <c r="M15" s="114" t="s">
        <v>123</v>
      </c>
      <c r="N15" t="s">
        <v>138</v>
      </c>
      <c r="O15" t="s">
        <v>15</v>
      </c>
      <c r="P15" t="s">
        <v>16</v>
      </c>
      <c r="Q15" s="114" t="s">
        <v>124</v>
      </c>
      <c r="R15" t="s">
        <v>17</v>
      </c>
      <c r="S15" t="s">
        <v>15</v>
      </c>
      <c r="T15" t="s">
        <v>16</v>
      </c>
      <c r="U15" s="114" t="s">
        <v>125</v>
      </c>
      <c r="V15" t="s">
        <v>17</v>
      </c>
      <c r="W15" s="114" t="s">
        <v>129</v>
      </c>
      <c r="X15" s="114" t="s">
        <v>126</v>
      </c>
      <c r="Y15" s="114" t="s">
        <v>127</v>
      </c>
      <c r="Z15" t="s">
        <v>112</v>
      </c>
      <c r="AA15" s="114" t="s">
        <v>128</v>
      </c>
    </row>
    <row r="16" spans="2:27">
      <c r="B16" s="191">
        <v>2</v>
      </c>
      <c r="C16" s="191">
        <v>0.75869979343144023</v>
      </c>
      <c r="D16" s="191">
        <v>0.58331798492408526</v>
      </c>
      <c r="E16" s="191">
        <v>0.5</v>
      </c>
      <c r="F16" s="191">
        <v>0.40888660334345173</v>
      </c>
      <c r="G16" s="191">
        <v>0.40888660334345173</v>
      </c>
      <c r="H16" s="191">
        <v>1.2583518493824657</v>
      </c>
      <c r="I16">
        <v>1</v>
      </c>
      <c r="J16" s="191">
        <v>0.30682003606198066</v>
      </c>
      <c r="K16" s="191">
        <v>0.17512610575764659</v>
      </c>
      <c r="L16" s="191">
        <v>0.35025221151529318</v>
      </c>
      <c r="M16" s="191">
        <v>0.17512610575764659</v>
      </c>
      <c r="N16" s="191">
        <v>3</v>
      </c>
      <c r="O16" s="191" t="s">
        <v>94</v>
      </c>
      <c r="P16" s="191">
        <v>1.25</v>
      </c>
      <c r="Q16" s="191">
        <v>40</v>
      </c>
      <c r="R16" s="199">
        <v>37</v>
      </c>
      <c r="S16" s="191" t="s">
        <v>94</v>
      </c>
      <c r="T16" s="191">
        <v>1.25</v>
      </c>
      <c r="U16" s="191">
        <v>40</v>
      </c>
      <c r="V16" s="199">
        <v>38</v>
      </c>
      <c r="W16" s="191">
        <v>5.8375368585882194E-2</v>
      </c>
      <c r="X16" s="191">
        <v>1.1675073717176439E-2</v>
      </c>
      <c r="Y16" s="191">
        <v>0.11675073717176439</v>
      </c>
      <c r="Z16" s="191">
        <v>0.5</v>
      </c>
      <c r="AA16" s="200">
        <v>0.12842581088894084</v>
      </c>
    </row>
    <row r="17" spans="2:27">
      <c r="B17" s="191">
        <v>3</v>
      </c>
      <c r="C17" s="191">
        <v>0.75869979343144023</v>
      </c>
      <c r="D17" s="191">
        <v>0.58331798492408526</v>
      </c>
      <c r="E17" s="191">
        <v>0.5</v>
      </c>
      <c r="F17" s="191">
        <v>0.40888660334345173</v>
      </c>
      <c r="G17" s="191">
        <v>0.40888660334345173</v>
      </c>
      <c r="H17" s="191">
        <v>1.2333108797008119</v>
      </c>
      <c r="I17">
        <v>2</v>
      </c>
      <c r="J17" s="191">
        <v>0.25363594234941034</v>
      </c>
      <c r="K17" s="191">
        <v>0.19053993892073232</v>
      </c>
      <c r="L17" s="191">
        <v>0.3421115260631768</v>
      </c>
      <c r="M17" s="191">
        <v>0.15157158714244448</v>
      </c>
      <c r="N17" s="191">
        <v>2.7</v>
      </c>
      <c r="O17" s="191" t="s">
        <v>94</v>
      </c>
      <c r="P17" s="191">
        <v>1.25</v>
      </c>
      <c r="Q17" s="191">
        <v>40</v>
      </c>
      <c r="R17" s="199">
        <v>39</v>
      </c>
      <c r="S17" s="191" t="s">
        <v>94</v>
      </c>
      <c r="T17" s="191">
        <v>1.25</v>
      </c>
      <c r="U17" s="191">
        <v>40</v>
      </c>
      <c r="V17" s="199">
        <v>39</v>
      </c>
      <c r="W17" s="191">
        <v>5.6137624867572025E-2</v>
      </c>
      <c r="X17" s="191">
        <v>1.1227524973514405E-2</v>
      </c>
      <c r="Y17" s="191">
        <v>0.11227524973514405</v>
      </c>
      <c r="Z17" s="191">
        <v>0.55695270227623328</v>
      </c>
      <c r="AA17" s="200">
        <v>0.12350277470865846</v>
      </c>
    </row>
    <row r="18" spans="2:27">
      <c r="B18" s="191">
        <v>4</v>
      </c>
      <c r="C18" s="191">
        <v>0.75869979343144023</v>
      </c>
      <c r="D18" s="191">
        <v>0.58331798492408526</v>
      </c>
      <c r="E18" s="191">
        <v>0.5</v>
      </c>
      <c r="F18" s="191">
        <v>0.40888660334345173</v>
      </c>
      <c r="G18" s="191">
        <v>0.40888660334345173</v>
      </c>
      <c r="H18" s="191">
        <v>1.2121618413812478</v>
      </c>
      <c r="I18">
        <v>3</v>
      </c>
      <c r="J18" s="191">
        <v>0.21676010856551547</v>
      </c>
      <c r="K18" s="191">
        <v>0.20536416325946058</v>
      </c>
      <c r="L18" s="191">
        <v>0.33342364199008701</v>
      </c>
      <c r="M18" s="191">
        <v>0.12805947873062642</v>
      </c>
      <c r="N18" s="191">
        <v>2.4000000000000004</v>
      </c>
      <c r="O18" s="191" t="s">
        <v>94</v>
      </c>
      <c r="P18" s="191">
        <v>1</v>
      </c>
      <c r="Q18" s="191">
        <v>37.5</v>
      </c>
      <c r="R18" s="199">
        <v>33</v>
      </c>
      <c r="S18" s="191" t="s">
        <v>99</v>
      </c>
      <c r="T18" s="191">
        <v>1</v>
      </c>
      <c r="U18" s="191">
        <v>37.5</v>
      </c>
      <c r="V18" s="199">
        <v>33</v>
      </c>
      <c r="W18" s="191">
        <v>5.3358116137761008E-2</v>
      </c>
      <c r="X18" s="191">
        <v>1.0671623227552203E-2</v>
      </c>
      <c r="Y18" s="191">
        <v>0.10671623227552202</v>
      </c>
      <c r="Z18" s="191">
        <v>0.61592561953230129</v>
      </c>
      <c r="AA18" s="200">
        <v>0.11738785550307422</v>
      </c>
    </row>
    <row r="19" spans="2:27">
      <c r="B19" s="191">
        <v>5</v>
      </c>
      <c r="C19" s="191">
        <v>0.75869979343144023</v>
      </c>
      <c r="D19" s="191">
        <v>0.58331798492408526</v>
      </c>
      <c r="E19" s="191">
        <v>0.5</v>
      </c>
      <c r="F19" s="191">
        <v>0.40888660334345173</v>
      </c>
      <c r="G19" s="191">
        <v>0.40888660334345173</v>
      </c>
      <c r="H19" s="191">
        <v>1.1940535422248719</v>
      </c>
      <c r="I19">
        <v>4</v>
      </c>
      <c r="J19" s="191">
        <v>0.18781262615445185</v>
      </c>
      <c r="K19" s="191">
        <v>0.21629048630729197</v>
      </c>
      <c r="L19" s="191">
        <v>0.32644171014462481</v>
      </c>
      <c r="M19" s="191">
        <v>0.11015122383733283</v>
      </c>
      <c r="N19" s="191">
        <v>2.1000000000000005</v>
      </c>
      <c r="O19" s="191" t="s">
        <v>94</v>
      </c>
      <c r="P19" s="191">
        <v>1</v>
      </c>
      <c r="Q19" s="191">
        <v>37.5</v>
      </c>
      <c r="R19" s="199">
        <v>33</v>
      </c>
      <c r="S19" s="191" t="s">
        <v>94</v>
      </c>
      <c r="T19" s="191">
        <v>1</v>
      </c>
      <c r="U19" s="191">
        <v>37.5</v>
      </c>
      <c r="V19" s="199">
        <v>34</v>
      </c>
      <c r="W19" s="191">
        <v>5.2452963732063242E-2</v>
      </c>
      <c r="X19" s="191">
        <v>1.0490592746412649E-2</v>
      </c>
      <c r="Y19" s="191">
        <v>0.10490592746412648</v>
      </c>
      <c r="Z19" s="191">
        <v>0.66257000740336736</v>
      </c>
      <c r="AA19" s="200">
        <v>0.11539652021053913</v>
      </c>
    </row>
    <row r="20" spans="2:27">
      <c r="B20" s="191">
        <v>6</v>
      </c>
      <c r="C20" s="191">
        <v>0.77207723128905292</v>
      </c>
      <c r="D20" s="191">
        <v>0.5721383664379267</v>
      </c>
      <c r="E20" s="191">
        <v>0.5</v>
      </c>
      <c r="F20" s="191">
        <v>0.45086306816821797</v>
      </c>
      <c r="G20" s="191">
        <v>0.45086306816821797</v>
      </c>
      <c r="H20" s="191">
        <v>1.2104220364489899</v>
      </c>
      <c r="I20">
        <v>5</v>
      </c>
      <c r="J20" s="191">
        <v>0.1646691024958547</v>
      </c>
      <c r="K20" s="191">
        <v>0.22464412001624884</v>
      </c>
      <c r="L20" s="191">
        <v>0.32075034517723794</v>
      </c>
      <c r="M20" s="191">
        <v>9.6106225160989101E-2</v>
      </c>
      <c r="N20" s="191">
        <v>1.8000000000000005</v>
      </c>
      <c r="O20" s="191" t="s">
        <v>98</v>
      </c>
      <c r="P20" s="191">
        <v>1</v>
      </c>
      <c r="Q20" s="191">
        <v>35</v>
      </c>
      <c r="R20" s="199">
        <v>33</v>
      </c>
      <c r="S20" s="191" t="s">
        <v>98</v>
      </c>
      <c r="T20" s="191">
        <v>1</v>
      </c>
      <c r="U20" s="191">
        <v>35</v>
      </c>
      <c r="V20" s="199">
        <v>33</v>
      </c>
      <c r="W20" s="191">
        <v>5.3392347311660593E-2</v>
      </c>
      <c r="X20" s="191">
        <v>1.067846946233212E-2</v>
      </c>
      <c r="Y20" s="191">
        <v>0.10678469462332119</v>
      </c>
      <c r="Z20" s="191">
        <v>0.7003706259212803</v>
      </c>
      <c r="AA20" s="200">
        <v>0.1174631640856533</v>
      </c>
    </row>
    <row r="21" spans="2:27">
      <c r="I21">
        <v>6</v>
      </c>
      <c r="J21" s="191">
        <v>0.14499178866060905</v>
      </c>
      <c r="K21" s="191">
        <v>0.23150965945619786</v>
      </c>
      <c r="L21" s="191">
        <v>0.31583071758090187</v>
      </c>
      <c r="M21" s="191">
        <v>8.4321058124704001E-2</v>
      </c>
      <c r="N21" s="191">
        <v>1.5000000000000004</v>
      </c>
      <c r="O21" s="191" t="s">
        <v>98</v>
      </c>
      <c r="P21" s="191">
        <v>1</v>
      </c>
      <c r="Q21" s="191">
        <v>35</v>
      </c>
      <c r="R21" s="199">
        <v>31</v>
      </c>
      <c r="S21" s="191" t="s">
        <v>98</v>
      </c>
      <c r="T21" s="191">
        <v>1</v>
      </c>
      <c r="U21" s="191">
        <v>35</v>
      </c>
      <c r="V21" s="199">
        <v>31</v>
      </c>
      <c r="W21" s="191">
        <v>5.6214038749802658E-2</v>
      </c>
      <c r="X21" s="191">
        <v>1.1242807749960532E-2</v>
      </c>
      <c r="Y21" s="191">
        <v>0.11242807749960532</v>
      </c>
      <c r="Z21" s="191">
        <v>0.73301818527798934</v>
      </c>
      <c r="AA21" s="200">
        <v>0.12367088524956585</v>
      </c>
    </row>
    <row r="25" spans="2:27">
      <c r="B25" s="190" t="s">
        <v>107</v>
      </c>
      <c r="C25" s="190" t="s">
        <v>133</v>
      </c>
      <c r="D25" s="190" t="s">
        <v>134</v>
      </c>
      <c r="E25" s="191" t="s">
        <v>132</v>
      </c>
      <c r="F25" s="190" t="s">
        <v>136</v>
      </c>
      <c r="G25" s="190" t="s">
        <v>137</v>
      </c>
      <c r="H25" s="191" t="s">
        <v>130</v>
      </c>
      <c r="I25" s="191" t="s">
        <v>131</v>
      </c>
      <c r="J25" t="s">
        <v>135</v>
      </c>
    </row>
    <row r="26" spans="2:27">
      <c r="B26" s="192">
        <v>1</v>
      </c>
      <c r="C26" s="191">
        <v>25.035213387669327</v>
      </c>
      <c r="D26" s="191">
        <v>300</v>
      </c>
      <c r="E26" s="191">
        <v>101</v>
      </c>
      <c r="F26" s="191">
        <v>279.89811084157827</v>
      </c>
      <c r="G26" s="191">
        <v>80.213601986168854</v>
      </c>
      <c r="H26" s="191">
        <v>0.94592458320165951</v>
      </c>
      <c r="I26" s="191">
        <v>0.30392785627084012</v>
      </c>
      <c r="J26">
        <v>1.2884838838476169</v>
      </c>
    </row>
    <row r="27" spans="2:27">
      <c r="B27" s="192">
        <v>2</v>
      </c>
      <c r="C27" s="191">
        <v>24.508156263718394</v>
      </c>
      <c r="D27" s="191">
        <v>325.03521338766933</v>
      </c>
      <c r="E27" s="191">
        <v>130.1368722686093</v>
      </c>
      <c r="F27" s="191">
        <v>304.82687039237049</v>
      </c>
      <c r="G27" s="191">
        <v>103.35393342454574</v>
      </c>
      <c r="H27" s="191">
        <v>1.1442724246472395</v>
      </c>
      <c r="I27" s="191">
        <v>0.29752937508619087</v>
      </c>
      <c r="J27">
        <v>1.2583518493824657</v>
      </c>
    </row>
    <row r="28" spans="2:27">
      <c r="B28" s="192">
        <v>3</v>
      </c>
      <c r="C28" s="191">
        <v>23.981099139767455</v>
      </c>
      <c r="D28" s="191">
        <v>349.54336965138771</v>
      </c>
      <c r="E28" s="191">
        <v>163.75797389205422</v>
      </c>
      <c r="F28" s="191">
        <v>329.2418258210493</v>
      </c>
      <c r="G28" s="191">
        <v>130.05561326572936</v>
      </c>
      <c r="H28" s="191">
        <v>1.3389392386382108</v>
      </c>
      <c r="I28" s="191">
        <v>0.29113089390154151</v>
      </c>
      <c r="J28">
        <v>1.2333108797008119</v>
      </c>
    </row>
    <row r="29" spans="2:27">
      <c r="B29" s="192">
        <v>4</v>
      </c>
      <c r="C29" s="191">
        <v>23.454042015816523</v>
      </c>
      <c r="D29" s="191">
        <v>373.52446879115519</v>
      </c>
      <c r="E29" s="191">
        <v>201.96449083883198</v>
      </c>
      <c r="F29" s="191">
        <v>353.14211988227555</v>
      </c>
      <c r="G29" s="191">
        <v>160.39900280678526</v>
      </c>
      <c r="H29" s="191">
        <v>1.5453093898552452</v>
      </c>
      <c r="I29" s="191">
        <v>0.28473241271689226</v>
      </c>
      <c r="J29">
        <v>1.2121618413812478</v>
      </c>
    </row>
    <row r="30" spans="2:27">
      <c r="B30" s="192">
        <v>5</v>
      </c>
      <c r="C30" s="191">
        <v>22.926984891865594</v>
      </c>
      <c r="D30" s="191">
        <v>396.97851080697171</v>
      </c>
      <c r="E30" s="191">
        <v>244.81364910882473</v>
      </c>
      <c r="F30" s="191">
        <v>376.52687531162559</v>
      </c>
      <c r="G30" s="191">
        <v>194.42955059798879</v>
      </c>
      <c r="H30" s="191">
        <v>1.7624958801069148</v>
      </c>
      <c r="I30" s="191">
        <v>0.27833393153224306</v>
      </c>
      <c r="J30">
        <v>1.1940535422248719</v>
      </c>
    </row>
    <row r="31" spans="2:27">
      <c r="B31" s="192">
        <v>6</v>
      </c>
      <c r="C31" s="191">
        <v>26.164116236918471</v>
      </c>
      <c r="D31" s="191">
        <v>419.90549569883729</v>
      </c>
      <c r="E31" s="191">
        <v>292.32060490338904</v>
      </c>
      <c r="F31" s="191">
        <v>400.17208812544089</v>
      </c>
      <c r="G31" s="191">
        <v>234.13553490441151</v>
      </c>
      <c r="H31" s="191">
        <v>2.0016900088680378</v>
      </c>
      <c r="I31" s="191">
        <v>0.31763275335309649</v>
      </c>
      <c r="J31">
        <v>1.2104220364489899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Analisis sensibilidad</vt:lpstr>
      <vt:lpstr>Diseño</vt:lpstr>
      <vt:lpstr>Presentacion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Cabrera</dc:creator>
  <cp:lastModifiedBy>Rolando Cabrera</cp:lastModifiedBy>
  <dcterms:created xsi:type="dcterms:W3CDTF">2020-09-12T21:28:03Z</dcterms:created>
  <dcterms:modified xsi:type="dcterms:W3CDTF">2020-09-19T19:34:46Z</dcterms:modified>
</cp:coreProperties>
</file>